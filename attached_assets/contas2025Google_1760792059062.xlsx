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2025" sheetId="1" r:id="rId4"/>
    <sheet state="visible" name="Fev2025" sheetId="2" r:id="rId5"/>
    <sheet state="visible" name="mar2025" sheetId="3" r:id="rId6"/>
    <sheet state="visible" name="abr2025-1" sheetId="4" r:id="rId7"/>
    <sheet state="visible" name="abr2025" sheetId="5" r:id="rId8"/>
    <sheet state="visible" name="mai2025" sheetId="6" r:id="rId9"/>
    <sheet state="visible" name="jun2025" sheetId="7" r:id="rId10"/>
    <sheet state="visible" name="jul2025" sheetId="8" r:id="rId11"/>
    <sheet state="visible" name="ago2025" sheetId="9" r:id="rId12"/>
    <sheet state="visible" name="set2025" sheetId="10" r:id="rId13"/>
    <sheet state="visible" name="out2025" sheetId="11" r:id="rId14"/>
  </sheets>
  <definedNames>
    <definedName name="TabelaGastos">'mar2025'!$A$1:$J$50</definedName>
    <definedName localSheetId="3" name="TabelaGastos">'abr2025-1'!$A$1:$L$48</definedName>
    <definedName hidden="1" localSheetId="2" name="_xlnm._FilterDatabase">'mar2025'!$A$1:$J$50</definedName>
    <definedName hidden="1" localSheetId="3" name="_xlnm._FilterDatabase">'abr2025-1'!$A$1:$L$48</definedName>
  </definedNames>
  <calcPr/>
</workbook>
</file>

<file path=xl/sharedStrings.xml><?xml version="1.0" encoding="utf-8"?>
<sst xmlns="http://schemas.openxmlformats.org/spreadsheetml/2006/main" count="826" uniqueCount="103">
  <si>
    <t>Contas descritas</t>
  </si>
  <si>
    <t>valor</t>
  </si>
  <si>
    <t>valor pago</t>
  </si>
  <si>
    <t>data</t>
  </si>
  <si>
    <t>mes</t>
  </si>
  <si>
    <t>dia venc</t>
  </si>
  <si>
    <t>n parc</t>
  </si>
  <si>
    <t>total devido</t>
  </si>
  <si>
    <t>parc falta</t>
  </si>
  <si>
    <t>pago em</t>
  </si>
  <si>
    <t>Total</t>
  </si>
  <si>
    <t>valores Total</t>
  </si>
  <si>
    <t>acordo direcional(8 de 312,85)</t>
  </si>
  <si>
    <t>debito</t>
  </si>
  <si>
    <t>Total há pagar</t>
  </si>
  <si>
    <t>pagamento</t>
  </si>
  <si>
    <t>falta pg</t>
  </si>
  <si>
    <t>Claro</t>
  </si>
  <si>
    <t>cartao</t>
  </si>
  <si>
    <t>recebi</t>
  </si>
  <si>
    <t>ventilador</t>
  </si>
  <si>
    <t>Total Dividas</t>
  </si>
  <si>
    <t>netflix</t>
  </si>
  <si>
    <t>Valor que tenho</t>
  </si>
  <si>
    <t>mercado pago cartão</t>
  </si>
  <si>
    <t>Total pago</t>
  </si>
  <si>
    <t>livro</t>
  </si>
  <si>
    <t>parcelas no Cartão</t>
  </si>
  <si>
    <t>s23</t>
  </si>
  <si>
    <t>10% (investir)</t>
  </si>
  <si>
    <t>Havan(8 de 12)</t>
  </si>
  <si>
    <t>investi</t>
  </si>
  <si>
    <t>tarifa do banco</t>
  </si>
  <si>
    <t>emprestei</t>
  </si>
  <si>
    <t>condominio</t>
  </si>
  <si>
    <t>silvia</t>
  </si>
  <si>
    <t>cpfl</t>
  </si>
  <si>
    <t>a pagar</t>
  </si>
  <si>
    <t>negão</t>
  </si>
  <si>
    <t>acordo direcional(4 de 12)</t>
  </si>
  <si>
    <t>terapia Multidimensional</t>
  </si>
  <si>
    <t>ju mary  kay 2431</t>
  </si>
  <si>
    <t>curso felipe/cartão nu</t>
  </si>
  <si>
    <t>faculdade</t>
  </si>
  <si>
    <t>agua</t>
  </si>
  <si>
    <t>Wi-fi</t>
  </si>
  <si>
    <t>nubank cartão</t>
  </si>
  <si>
    <t>apartamento</t>
  </si>
  <si>
    <t>negao</t>
  </si>
  <si>
    <t>emprestimo mercado pago</t>
  </si>
  <si>
    <t>dia venc.</t>
  </si>
  <si>
    <t>acordo direcional(7 de 312,85)</t>
  </si>
  <si>
    <t>celular 15x</t>
  </si>
  <si>
    <t>acordo direcional(5 de 12)</t>
  </si>
  <si>
    <t>ju mary  kay</t>
  </si>
  <si>
    <t>curso felipe</t>
  </si>
  <si>
    <t>acordo direcional(6 de 312,85)</t>
  </si>
  <si>
    <t>itau limite especial</t>
  </si>
  <si>
    <t>a apagar</t>
  </si>
  <si>
    <t xml:space="preserve">emprestimo mercadopago </t>
  </si>
  <si>
    <t>limiteItau</t>
  </si>
  <si>
    <t>ju mary  kay 2031</t>
  </si>
  <si>
    <t>emprestimo nubank</t>
  </si>
  <si>
    <t>investimento mensal</t>
  </si>
  <si>
    <t>valor total devido</t>
  </si>
  <si>
    <t>acordo direcional</t>
  </si>
  <si>
    <t>cartaoMercadoPago</t>
  </si>
  <si>
    <t>investidor10 Pro</t>
  </si>
  <si>
    <t>parc Cartão</t>
  </si>
  <si>
    <t>cartaoNubank</t>
  </si>
  <si>
    <t>emprestimo mercadopago silvia</t>
  </si>
  <si>
    <t>apartamento amortização</t>
  </si>
  <si>
    <t>celular 15x parc atrsada</t>
  </si>
  <si>
    <t>faculdade parc atrasada</t>
  </si>
  <si>
    <t>acordo direcional atrsada</t>
  </si>
  <si>
    <t>agua mes passado</t>
  </si>
  <si>
    <t>cigarro</t>
  </si>
  <si>
    <t>emprestei p/ silva</t>
  </si>
  <si>
    <t>adiantamento pagamento</t>
  </si>
  <si>
    <t>investimento</t>
  </si>
  <si>
    <t>contas fixas</t>
  </si>
  <si>
    <t>ju mary  kay 1831-147</t>
  </si>
  <si>
    <t>CELIA EMPRESTOU</t>
  </si>
  <si>
    <t>Havan(11 de 12)</t>
  </si>
  <si>
    <t>adiantamento pagamento(vale)</t>
  </si>
  <si>
    <t>ju mary  kay 1684</t>
  </si>
  <si>
    <t>cigarro/Compras mercadopago</t>
  </si>
  <si>
    <t>acordo direcional(8 de 12)</t>
  </si>
  <si>
    <t>IRPF pagamento</t>
  </si>
  <si>
    <t>adiantamento decimo terceiro</t>
  </si>
  <si>
    <t>ju mary  kay 2128,9</t>
  </si>
  <si>
    <t>acordo direcional(9 de 12)</t>
  </si>
  <si>
    <t>catão pan</t>
  </si>
  <si>
    <t xml:space="preserve">cartão mercado pago </t>
  </si>
  <si>
    <t>cartão carrefour</t>
  </si>
  <si>
    <t>ju mary  kay 1766,01</t>
  </si>
  <si>
    <t>cartão brasilcard</t>
  </si>
  <si>
    <t>nice</t>
  </si>
  <si>
    <t>ju mary  kay 1566,01</t>
  </si>
  <si>
    <t>negão devolveu</t>
  </si>
  <si>
    <t>notebook</t>
  </si>
  <si>
    <t>PLR</t>
  </si>
  <si>
    <t>dentista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</si>
</sst>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[$R$-416]\ #,##0.00;[RED]\-[$R$-416]\ #,##0.00"/>
    <numFmt numFmtId="166" formatCode="[$R$ -416]#,##0.00"/>
  </numFmts>
  <fonts count="14">
    <font>
      <sz val="11.0"/>
      <color rgb="FF000000"/>
      <name val="Roboto"/>
      <scheme val="minor"/>
    </font>
    <font>
      <sz val="11.0"/>
      <color theme="1"/>
      <name val="Arial"/>
    </font>
    <font>
      <color theme="1"/>
      <name val="Roboto"/>
      <scheme val="minor"/>
    </font>
    <font>
      <sz val="11.0"/>
      <color rgb="FF000000"/>
      <name val="Arial"/>
    </font>
    <font>
      <b/>
      <sz val="11.0"/>
      <color theme="1"/>
      <name val="Arial"/>
    </font>
    <font>
      <sz val="11.0"/>
      <color rgb="FF000000"/>
      <name val="-apple-system"/>
    </font>
    <font>
      <sz val="9.0"/>
      <color rgb="FF000000"/>
      <name val="&quot;Google Sans Mono&quot;"/>
    </font>
    <font>
      <sz val="9.0"/>
      <color theme="1"/>
      <name val="Google Sans Mono"/>
    </font>
    <font>
      <color theme="1"/>
      <name val="Arial"/>
    </font>
    <font>
      <b/>
      <sz val="11.0"/>
      <color rgb="FF000000"/>
      <name val="Arial"/>
    </font>
    <font>
      <b/>
      <color theme="1"/>
      <name val="Roboto"/>
      <scheme val="minor"/>
    </font>
    <font>
      <sz val="11.0"/>
      <color rgb="FF434343"/>
      <name val="Roboto"/>
    </font>
    <font>
      <sz val="11.0"/>
      <color theme="1"/>
      <name val="Roboto"/>
    </font>
    <font>
      <sz val="11.0"/>
      <color rgb="FF2C481F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9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B7E1CD"/>
      </left>
      <right style="thin">
        <color rgb="FFB7E1CD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B7E1CD"/>
      </left>
      <right style="thin">
        <color rgb="FFB7E1CD"/>
      </right>
      <top style="thin">
        <color rgb="FFB7E1CD"/>
      </top>
      <bottom style="thin">
        <color rgb="FFB7E1CD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B7E1CD"/>
      </left>
      <right style="thin">
        <color rgb="FFB7E1CD"/>
      </right>
      <top style="thin">
        <color rgb="FFB7E1CD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bottom" wrapText="0"/>
    </xf>
    <xf borderId="2" fillId="0" fontId="1" numFmtId="0" xfId="0" applyAlignment="1" applyBorder="1" applyFont="1">
      <alignment horizontal="left" readingOrder="0" shrinkToFit="0" vertical="bottom" wrapText="0"/>
    </xf>
    <xf borderId="3" fillId="0" fontId="1" numFmtId="0" xfId="0" applyAlignment="1" applyBorder="1" applyFont="1">
      <alignment horizontal="left" readingOrder="0" shrinkToFit="0" vertical="bottom" wrapText="0"/>
    </xf>
    <xf borderId="2" fillId="0" fontId="2" numFmtId="164" xfId="0" applyAlignment="1" applyBorder="1" applyFont="1" applyNumberFormat="1">
      <alignment horizontal="left" readingOrder="0" shrinkToFit="0" vertical="center" wrapText="0"/>
    </xf>
    <xf borderId="2" fillId="0" fontId="1" numFmtId="49" xfId="0" applyAlignment="1" applyBorder="1" applyFont="1" applyNumberFormat="1">
      <alignment horizontal="left" readingOrder="0" shrinkToFit="0" vertical="bottom" wrapText="0"/>
    </xf>
    <xf borderId="2" fillId="0" fontId="1" numFmtId="0" xfId="0" applyAlignment="1" applyBorder="1" applyFont="1">
      <alignment horizontal="left" readingOrder="0" shrinkToFit="0" vertical="bottom" wrapText="0"/>
    </xf>
    <xf borderId="4" fillId="0" fontId="1" numFmtId="0" xfId="0" applyAlignment="1" applyBorder="1" applyFont="1">
      <alignment horizontal="left" readingOrder="0" shrinkToFit="0" vertical="bottom" wrapText="0"/>
    </xf>
    <xf borderId="0" fillId="0" fontId="3" numFmtId="0" xfId="0" applyAlignment="1" applyFont="1">
      <alignment shrinkToFit="0" vertical="bottom" wrapText="0"/>
    </xf>
    <xf borderId="1" fillId="0" fontId="4" numFmtId="0" xfId="0" applyAlignment="1" applyBorder="1" applyFont="1">
      <alignment horizontal="center" readingOrder="0" shrinkToFit="0" vertical="bottom" wrapText="0"/>
    </xf>
    <xf borderId="4" fillId="0" fontId="4" numFmtId="165" xfId="0" applyAlignment="1" applyBorder="1" applyFont="1" applyNumberFormat="1">
      <alignment horizontal="center" readingOrder="0" shrinkToFit="0" vertical="bottom" wrapText="0"/>
    </xf>
    <xf borderId="5" fillId="0" fontId="3" numFmtId="0" xfId="0" applyAlignment="1" applyBorder="1" applyFont="1">
      <alignment readingOrder="0" shrinkToFit="0" vertical="bottom" wrapText="0"/>
    </xf>
    <xf borderId="6" fillId="0" fontId="3" numFmtId="166" xfId="0" applyAlignment="1" applyBorder="1" applyFont="1" applyNumberFormat="1">
      <alignment shrinkToFit="0" vertical="bottom" wrapText="0"/>
    </xf>
    <xf borderId="7" fillId="0" fontId="3" numFmtId="166" xfId="0" applyAlignment="1" applyBorder="1" applyFont="1" applyNumberFormat="1">
      <alignment readingOrder="0" shrinkToFit="0" vertical="bottom" wrapText="0"/>
    </xf>
    <xf borderId="6" fillId="0" fontId="2" numFmtId="164" xfId="0" applyAlignment="1" applyBorder="1" applyFont="1" applyNumberFormat="1">
      <alignment readingOrder="0" shrinkToFit="0" vertical="center" wrapText="0"/>
    </xf>
    <xf borderId="6" fillId="0" fontId="2" numFmtId="0" xfId="0" applyAlignment="1" applyBorder="1" applyFont="1">
      <alignment shrinkToFit="0" vertical="center" wrapText="0"/>
    </xf>
    <xf borderId="6" fillId="0" fontId="3" numFmtId="0" xfId="0" applyAlignment="1" applyBorder="1" applyFont="1">
      <alignment readingOrder="0" shrinkToFit="0" vertical="bottom" wrapText="0"/>
    </xf>
    <xf borderId="6" fillId="0" fontId="5" numFmtId="166" xfId="0" applyAlignment="1" applyBorder="1" applyFont="1" applyNumberFormat="1">
      <alignment shrinkToFit="0" vertical="center" wrapText="0"/>
    </xf>
    <xf borderId="6" fillId="2" fontId="6" numFmtId="0" xfId="0" applyAlignment="1" applyBorder="1" applyFill="1" applyFont="1">
      <alignment shrinkToFit="0" vertical="center" wrapText="0"/>
    </xf>
    <xf borderId="8" fillId="0" fontId="3" numFmtId="0" xfId="0" applyAlignment="1" applyBorder="1" applyFont="1">
      <alignment readingOrder="0" shrinkToFit="0" vertical="bottom" wrapText="0"/>
    </xf>
    <xf borderId="5" fillId="0" fontId="4" numFmtId="0" xfId="0" applyAlignment="1" applyBorder="1" applyFont="1">
      <alignment horizontal="center" shrinkToFit="0" vertical="bottom" wrapText="0"/>
    </xf>
    <xf borderId="8" fillId="0" fontId="1" numFmtId="166" xfId="0" applyAlignment="1" applyBorder="1" applyFont="1" applyNumberFormat="1">
      <alignment horizontal="center" shrinkToFit="0" vertical="bottom" wrapText="0"/>
    </xf>
    <xf borderId="9" fillId="0" fontId="3" numFmtId="0" xfId="0" applyAlignment="1" applyBorder="1" applyFont="1">
      <alignment readingOrder="0" shrinkToFit="0" vertical="bottom" wrapText="0"/>
    </xf>
    <xf borderId="10" fillId="0" fontId="1" numFmtId="166" xfId="0" applyAlignment="1" applyBorder="1" applyFont="1" applyNumberFormat="1">
      <alignment horizontal="center" shrinkToFit="0" vertical="bottom" wrapText="0"/>
    </xf>
    <xf borderId="10" fillId="0" fontId="3" numFmtId="166" xfId="0" applyAlignment="1" applyBorder="1" applyFont="1" applyNumberFormat="1">
      <alignment readingOrder="0" shrinkToFit="0" vertical="bottom" wrapText="0"/>
    </xf>
    <xf borderId="10" fillId="0" fontId="2" numFmtId="164" xfId="0" applyAlignment="1" applyBorder="1" applyFont="1" applyNumberFormat="1">
      <alignment readingOrder="0" shrinkToFit="0" vertical="center" wrapText="0"/>
    </xf>
    <xf borderId="10" fillId="0" fontId="2" numFmtId="0" xfId="0" applyAlignment="1" applyBorder="1" applyFont="1">
      <alignment shrinkToFit="0" vertical="center" wrapText="0"/>
    </xf>
    <xf borderId="10" fillId="0" fontId="3" numFmtId="0" xfId="0" applyAlignment="1" applyBorder="1" applyFont="1">
      <alignment readingOrder="0" shrinkToFit="0" vertical="bottom" wrapText="0"/>
    </xf>
    <xf borderId="10" fillId="0" fontId="5" numFmtId="166" xfId="0" applyAlignment="1" applyBorder="1" applyFont="1" applyNumberFormat="1">
      <alignment shrinkToFit="0" vertical="center" wrapText="0"/>
    </xf>
    <xf borderId="11" fillId="0" fontId="3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9" fillId="0" fontId="4" numFmtId="0" xfId="0" applyAlignment="1" applyBorder="1" applyFont="1">
      <alignment horizontal="center" shrinkToFit="0" vertical="bottom" wrapText="0"/>
    </xf>
    <xf borderId="11" fillId="0" fontId="1" numFmtId="166" xfId="0" applyAlignment="1" applyBorder="1" applyFont="1" applyNumberFormat="1">
      <alignment horizontal="center" shrinkToFit="0" vertical="bottom" wrapText="0"/>
    </xf>
    <xf borderId="5" fillId="0" fontId="3" numFmtId="0" xfId="0" applyAlignment="1" applyBorder="1" applyFont="1">
      <alignment shrinkToFit="0" vertical="bottom" wrapText="0"/>
    </xf>
    <xf borderId="6" fillId="0" fontId="2" numFmtId="0" xfId="0" applyAlignment="1" applyBorder="1" applyFont="1">
      <alignment shrinkToFit="0" vertical="center" wrapText="0"/>
    </xf>
    <xf borderId="6" fillId="0" fontId="3" numFmtId="0" xfId="0" applyAlignment="1" applyBorder="1" applyFont="1">
      <alignment shrinkToFit="0" vertical="bottom" wrapText="0"/>
    </xf>
    <xf borderId="10" fillId="0" fontId="2" numFmtId="0" xfId="0" applyAlignment="1" applyBorder="1" applyFont="1">
      <alignment shrinkToFit="0" vertical="center" wrapText="0"/>
    </xf>
    <xf borderId="8" fillId="2" fontId="7" numFmtId="166" xfId="0" applyAlignment="1" applyBorder="1" applyFont="1" applyNumberFormat="1">
      <alignment horizontal="center" readingOrder="0" shrinkToFit="0" vertical="bottom" wrapText="0"/>
    </xf>
    <xf borderId="10" fillId="0" fontId="3" numFmtId="0" xfId="0" applyAlignment="1" applyBorder="1" applyFont="1">
      <alignment shrinkToFit="0" vertical="bottom" wrapText="0"/>
    </xf>
    <xf borderId="6" fillId="0" fontId="3" numFmtId="166" xfId="0" applyAlignment="1" applyBorder="1" applyFont="1" applyNumberFormat="1">
      <alignment readingOrder="0" shrinkToFit="0" vertical="bottom" wrapText="0"/>
    </xf>
    <xf borderId="5" fillId="0" fontId="4" numFmtId="0" xfId="0" applyAlignment="1" applyBorder="1" applyFont="1">
      <alignment horizontal="center" readingOrder="0" shrinkToFit="0" vertical="bottom" wrapText="0"/>
    </xf>
    <xf borderId="9" fillId="0" fontId="2" numFmtId="0" xfId="0" applyAlignment="1" applyBorder="1" applyFont="1">
      <alignment readingOrder="0" shrinkToFit="0" vertical="center" wrapText="0"/>
    </xf>
    <xf borderId="10" fillId="0" fontId="2" numFmtId="166" xfId="0" applyAlignment="1" applyBorder="1" applyFont="1" applyNumberFormat="1">
      <alignment readingOrder="0" shrinkToFit="0" vertical="center" wrapText="0"/>
    </xf>
    <xf borderId="10" fillId="0" fontId="2" numFmtId="0" xfId="0" applyAlignment="1" applyBorder="1" applyFont="1">
      <alignment readingOrder="0" shrinkToFit="0" vertical="center" wrapText="0"/>
    </xf>
    <xf borderId="6" fillId="2" fontId="6" numFmtId="0" xfId="0" applyAlignment="1" applyBorder="1" applyFont="1">
      <alignment readingOrder="0" shrinkToFit="0" vertical="center" wrapText="0"/>
    </xf>
    <xf borderId="11" fillId="0" fontId="2" numFmtId="0" xfId="0" applyAlignment="1" applyBorder="1" applyFont="1">
      <alignment readingOrder="0" shrinkToFit="0" vertical="center" wrapText="0"/>
    </xf>
    <xf borderId="9" fillId="0" fontId="3" numFmtId="0" xfId="0" applyAlignment="1" applyBorder="1" applyFont="1">
      <alignment shrinkToFit="0" vertical="bottom" wrapText="0"/>
    </xf>
    <xf borderId="10" fillId="0" fontId="3" numFmtId="166" xfId="0" applyAlignment="1" applyBorder="1" applyFont="1" applyNumberFormat="1">
      <alignment shrinkToFit="0" vertical="bottom" wrapText="0"/>
    </xf>
    <xf borderId="11" fillId="0" fontId="8" numFmtId="166" xfId="0" applyAlignment="1" applyBorder="1" applyFont="1" applyNumberFormat="1">
      <alignment horizontal="center" readingOrder="0" shrinkToFit="0" vertical="bottom" wrapText="0"/>
    </xf>
    <xf borderId="5" fillId="0" fontId="1" numFmtId="0" xfId="0" applyAlignment="1" applyBorder="1" applyFont="1">
      <alignment horizontal="center" shrinkToFit="0" vertical="bottom" wrapText="0"/>
    </xf>
    <xf borderId="8" fillId="0" fontId="1" numFmtId="166" xfId="0" applyAlignment="1" applyBorder="1" applyFont="1" applyNumberFormat="1">
      <alignment horizontal="center" readingOrder="0" shrinkToFit="0" vertical="bottom" wrapText="0"/>
    </xf>
    <xf borderId="12" fillId="0" fontId="1" numFmtId="0" xfId="0" applyAlignment="1" applyBorder="1" applyFont="1">
      <alignment horizontal="center" shrinkToFit="0" vertical="bottom" wrapText="0"/>
    </xf>
    <xf borderId="13" fillId="0" fontId="1" numFmtId="166" xfId="0" applyAlignment="1" applyBorder="1" applyFont="1" applyNumberFormat="1">
      <alignment horizontal="center" shrinkToFit="0" vertical="bottom" wrapText="0"/>
    </xf>
    <xf borderId="14" fillId="0" fontId="2" numFmtId="0" xfId="0" applyAlignment="1" applyBorder="1" applyFont="1">
      <alignment readingOrder="0" shrinkToFit="0" vertical="center" wrapText="0"/>
    </xf>
    <xf borderId="15" fillId="0" fontId="2" numFmtId="166" xfId="0" applyAlignment="1" applyBorder="1" applyFont="1" applyNumberFormat="1">
      <alignment readingOrder="0" shrinkToFit="0" vertical="center" wrapText="0"/>
    </xf>
    <xf borderId="16" fillId="0" fontId="3" numFmtId="166" xfId="0" applyAlignment="1" applyBorder="1" applyFont="1" applyNumberFormat="1">
      <alignment readingOrder="0" shrinkToFit="0" vertical="bottom" wrapText="0"/>
    </xf>
    <xf borderId="15" fillId="0" fontId="2" numFmtId="164" xfId="0" applyAlignment="1" applyBorder="1" applyFont="1" applyNumberFormat="1">
      <alignment readingOrder="0" shrinkToFit="0" vertical="center" wrapText="0"/>
    </xf>
    <xf borderId="15" fillId="0" fontId="2" numFmtId="0" xfId="0" applyAlignment="1" applyBorder="1" applyFont="1">
      <alignment shrinkToFit="0" vertical="center" wrapText="0"/>
    </xf>
    <xf borderId="15" fillId="0" fontId="2" numFmtId="0" xfId="0" applyAlignment="1" applyBorder="1" applyFont="1">
      <alignment readingOrder="0" shrinkToFit="0" vertical="center" wrapText="0"/>
    </xf>
    <xf borderId="15" fillId="0" fontId="5" numFmtId="166" xfId="0" applyAlignment="1" applyBorder="1" applyFont="1" applyNumberFormat="1">
      <alignment shrinkToFit="0" vertical="center" wrapText="0"/>
    </xf>
    <xf borderId="15" fillId="2" fontId="6" numFmtId="0" xfId="0" applyAlignment="1" applyBorder="1" applyFont="1">
      <alignment readingOrder="0" shrinkToFit="0" vertical="center" wrapText="0"/>
    </xf>
    <xf borderId="17" fillId="0" fontId="2" numFmtId="0" xfId="0" applyAlignment="1" applyBorder="1" applyFont="1">
      <alignment readingOrder="0" shrinkToFit="0" vertical="center" wrapText="0"/>
    </xf>
    <xf borderId="0" fillId="0" fontId="2" numFmtId="166" xfId="0" applyAlignment="1" applyFont="1" applyNumberFormat="1">
      <alignment readingOrder="0"/>
    </xf>
    <xf borderId="0" fillId="0" fontId="3" numFmtId="165" xfId="0" applyAlignment="1" applyFont="1" applyNumberFormat="1">
      <alignment readingOrder="0" shrinkToFit="0" vertical="bottom" wrapText="0"/>
    </xf>
    <xf borderId="0" fillId="0" fontId="2" numFmtId="164" xfId="0" applyAlignment="1" applyFont="1" applyNumberFormat="1">
      <alignment readingOrder="0"/>
    </xf>
    <xf borderId="0" fillId="0" fontId="5" numFmtId="0" xfId="0" applyAlignment="1" applyFont="1">
      <alignment horizontal="left"/>
    </xf>
    <xf borderId="0" fillId="2" fontId="6" numFmtId="0" xfId="0" applyFont="1"/>
    <xf borderId="1" fillId="0" fontId="1" numFmtId="0" xfId="0" applyAlignment="1" applyBorder="1" applyFont="1">
      <alignment horizontal="left" readingOrder="0" shrinkToFit="0" vertical="bottom" wrapText="0"/>
    </xf>
    <xf borderId="3" fillId="0" fontId="1" numFmtId="0" xfId="0" applyAlignment="1" applyBorder="1" applyFont="1">
      <alignment horizontal="left" readingOrder="0" shrinkToFit="0" vertical="bottom" wrapText="0"/>
    </xf>
    <xf borderId="2" fillId="0" fontId="2" numFmtId="0" xfId="0" applyAlignment="1" applyBorder="1" applyFont="1">
      <alignment horizontal="left" readingOrder="0" shrinkToFit="0" vertical="center" wrapText="0"/>
    </xf>
    <xf borderId="5" fillId="0" fontId="1" numFmtId="0" xfId="0" applyAlignment="1" applyBorder="1" applyFont="1">
      <alignment readingOrder="0" shrinkToFit="0" vertical="bottom" wrapText="0"/>
    </xf>
    <xf borderId="6" fillId="0" fontId="1" numFmtId="166" xfId="0" applyAlignment="1" applyBorder="1" applyFont="1" applyNumberFormat="1">
      <alignment readingOrder="0" shrinkToFit="0" vertical="bottom" wrapText="0"/>
    </xf>
    <xf borderId="6" fillId="0" fontId="1" numFmtId="165" xfId="0" applyAlignment="1" applyBorder="1" applyFont="1" applyNumberFormat="1">
      <alignment readingOrder="0"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7" fillId="0" fontId="3" numFmtId="165" xfId="0" applyAlignment="1" applyBorder="1" applyFont="1" applyNumberFormat="1">
      <alignment readingOrder="0" shrinkToFit="0" vertical="bottom" wrapText="0"/>
    </xf>
    <xf borderId="10" fillId="0" fontId="5" numFmtId="166" xfId="0" applyAlignment="1" applyBorder="1" applyFont="1" applyNumberFormat="1">
      <alignment horizontal="left" readingOrder="0" shrinkToFit="0" vertical="center" wrapText="0"/>
    </xf>
    <xf borderId="6" fillId="2" fontId="6" numFmtId="0" xfId="0" applyAlignment="1" applyBorder="1" applyFont="1">
      <alignment readingOrder="0" shrinkToFit="0" vertical="center" wrapText="0"/>
    </xf>
    <xf borderId="6" fillId="0" fontId="5" numFmtId="166" xfId="0" applyAlignment="1" applyBorder="1" applyFont="1" applyNumberFormat="1">
      <alignment horizontal="left" readingOrder="0" shrinkToFit="0" vertical="center" wrapText="0"/>
    </xf>
    <xf borderId="6" fillId="0" fontId="3" numFmtId="0" xfId="0" applyAlignment="1" applyBorder="1" applyFont="1">
      <alignment readingOrder="0" shrinkToFit="0" vertical="bottom" wrapText="0"/>
    </xf>
    <xf borderId="10" fillId="0" fontId="3" numFmtId="0" xfId="0" applyAlignment="1" applyBorder="1" applyFont="1">
      <alignment readingOrder="0" shrinkToFit="0" vertical="bottom" wrapText="0"/>
    </xf>
    <xf borderId="6" fillId="0" fontId="3" numFmtId="165" xfId="0" applyAlignment="1" applyBorder="1" applyFont="1" applyNumberFormat="1">
      <alignment readingOrder="0" shrinkToFit="0" vertical="bottom" wrapText="0"/>
    </xf>
    <xf borderId="10" fillId="0" fontId="3" numFmtId="165" xfId="0" applyAlignment="1" applyBorder="1" applyFont="1" applyNumberFormat="1">
      <alignment readingOrder="0" shrinkToFit="0" vertical="bottom" wrapText="0"/>
    </xf>
    <xf borderId="11" fillId="0" fontId="3" numFmtId="0" xfId="0" applyAlignment="1" applyBorder="1" applyFont="1">
      <alignment readingOrder="0" shrinkToFit="0" vertical="bottom" wrapText="0"/>
    </xf>
    <xf borderId="14" fillId="0" fontId="3" numFmtId="0" xfId="0" applyAlignment="1" applyBorder="1" applyFont="1">
      <alignment readingOrder="0" shrinkToFit="0" vertical="bottom" wrapText="0"/>
    </xf>
    <xf borderId="15" fillId="0" fontId="3" numFmtId="166" xfId="0" applyAlignment="1" applyBorder="1" applyFont="1" applyNumberFormat="1">
      <alignment readingOrder="0" shrinkToFit="0" vertical="bottom" wrapText="0"/>
    </xf>
    <xf borderId="15" fillId="0" fontId="3" numFmtId="165" xfId="0" applyAlignment="1" applyBorder="1" applyFont="1" applyNumberFormat="1">
      <alignment readingOrder="0" shrinkToFit="0" vertical="bottom" wrapText="0"/>
    </xf>
    <xf borderId="15" fillId="0" fontId="3" numFmtId="0" xfId="0" applyAlignment="1" applyBorder="1" applyFont="1">
      <alignment readingOrder="0" shrinkToFit="0" vertical="bottom" wrapText="0"/>
    </xf>
    <xf borderId="15" fillId="0" fontId="3" numFmtId="0" xfId="0" applyAlignment="1" applyBorder="1" applyFont="1">
      <alignment readingOrder="0" shrinkToFit="0" vertical="bottom" wrapText="0"/>
    </xf>
    <xf borderId="15" fillId="0" fontId="5" numFmtId="166" xfId="0" applyAlignment="1" applyBorder="1" applyFont="1" applyNumberFormat="1">
      <alignment horizontal="left" readingOrder="0" shrinkToFit="0" vertical="center" wrapText="0"/>
    </xf>
    <xf borderId="15" fillId="2" fontId="6" numFmtId="0" xfId="0" applyAlignment="1" applyBorder="1" applyFont="1">
      <alignment readingOrder="0" shrinkToFit="0" vertical="center" wrapText="0"/>
    </xf>
    <xf borderId="17" fillId="0" fontId="3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horizontal="left" readingOrder="0"/>
    </xf>
    <xf borderId="0" fillId="0" fontId="2" numFmtId="0" xfId="0" applyAlignment="1" applyFont="1">
      <alignment horizontal="center"/>
    </xf>
    <xf borderId="0" fillId="0" fontId="2" numFmtId="0" xfId="0" applyFont="1"/>
    <xf borderId="6" fillId="0" fontId="3" numFmtId="166" xfId="0" applyAlignment="1" applyBorder="1" applyFont="1" applyNumberFormat="1">
      <alignment readingOrder="0" shrinkToFit="0" vertical="center" wrapText="0"/>
    </xf>
    <xf borderId="6" fillId="0" fontId="2" numFmtId="0" xfId="0" applyAlignment="1" applyBorder="1" applyFont="1">
      <alignment readingOrder="0" shrinkToFit="0" vertical="center" wrapText="0"/>
    </xf>
    <xf borderId="10" fillId="0" fontId="3" numFmtId="166" xfId="0" applyAlignment="1" applyBorder="1" applyFont="1" applyNumberForma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6" fillId="0" fontId="2" numFmtId="166" xfId="0" applyAlignment="1" applyBorder="1" applyFont="1" applyNumberFormat="1">
      <alignment readingOrder="0"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10" fillId="0" fontId="2" numFmtId="0" xfId="0" applyAlignment="1" applyBorder="1" applyFont="1">
      <alignment shrinkToFit="0" vertical="center" wrapText="0"/>
    </xf>
    <xf borderId="6" fillId="0" fontId="2" numFmtId="166" xfId="0" applyAlignment="1" applyBorder="1" applyFont="1" applyNumberFormat="1">
      <alignment shrinkToFit="0" vertical="center" wrapText="0"/>
    </xf>
    <xf borderId="6" fillId="0" fontId="2" numFmtId="164" xfId="0" applyAlignment="1" applyBorder="1" applyFont="1" applyNumberFormat="1">
      <alignment shrinkToFit="0" vertical="center" wrapText="0"/>
    </xf>
    <xf borderId="6" fillId="0" fontId="2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shrinkToFit="0" vertical="center" wrapText="0"/>
    </xf>
    <xf borderId="10" fillId="0" fontId="2" numFmtId="166" xfId="0" applyAlignment="1" applyBorder="1" applyFont="1" applyNumberFormat="1">
      <alignment shrinkToFit="0" vertical="center" wrapText="0"/>
    </xf>
    <xf borderId="10" fillId="0" fontId="2" numFmtId="164" xfId="0" applyAlignment="1" applyBorder="1" applyFont="1" applyNumberFormat="1">
      <alignment shrinkToFit="0" vertical="center" wrapText="0"/>
    </xf>
    <xf borderId="11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horizontal="center" shrinkToFit="0" vertical="center" wrapText="0"/>
    </xf>
    <xf borderId="9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15" fillId="0" fontId="2" numFmtId="166" xfId="0" applyAlignment="1" applyBorder="1" applyFont="1" applyNumberFormat="1">
      <alignment shrinkToFit="0" vertical="center" wrapText="0"/>
    </xf>
    <xf borderId="15" fillId="0" fontId="2" numFmtId="164" xfId="0" applyAlignment="1" applyBorder="1" applyFont="1" applyNumberFormat="1">
      <alignment shrinkToFit="0" vertical="center" wrapText="0"/>
    </xf>
    <xf borderId="15" fillId="0" fontId="2" numFmtId="0" xfId="0" applyAlignment="1" applyBorder="1" applyFont="1">
      <alignment shrinkToFit="0" vertical="center" wrapText="0"/>
    </xf>
    <xf borderId="15" fillId="0" fontId="3" numFmtId="166" xfId="0" applyAlignment="1" applyBorder="1" applyFont="1" applyNumberFormat="1">
      <alignment readingOrder="0" shrinkToFit="0" vertical="center" wrapText="0"/>
    </xf>
    <xf borderId="17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3" numFmtId="165" xfId="0" applyAlignment="1" applyFont="1" applyNumberFormat="1">
      <alignment shrinkToFit="0" vertical="bottom" wrapText="0"/>
    </xf>
    <xf borderId="0" fillId="0" fontId="3" numFmtId="166" xfId="0" applyAlignment="1" applyFont="1" applyNumberFormat="1">
      <alignment horizontal="left" readingOrder="0"/>
    </xf>
    <xf borderId="0" fillId="0" fontId="9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2" fontId="6" numFmtId="166" xfId="0" applyFont="1" applyNumberFormat="1"/>
    <xf borderId="0" fillId="0" fontId="10" numFmtId="0" xfId="0" applyAlignment="1" applyFont="1">
      <alignment horizontal="center"/>
    </xf>
    <xf borderId="0" fillId="0" fontId="9" numFmtId="0" xfId="0" applyAlignment="1" applyFont="1">
      <alignment horizontal="center" shrinkToFit="0" vertical="bottom" wrapText="0"/>
    </xf>
    <xf borderId="0" fillId="0" fontId="10" numFmtId="0" xfId="0" applyAlignment="1" applyFont="1">
      <alignment horizontal="center" readingOrder="0"/>
    </xf>
    <xf borderId="0" fillId="0" fontId="2" numFmtId="166" xfId="0" applyFont="1" applyNumberFormat="1"/>
    <xf borderId="0" fillId="0" fontId="2" numFmtId="0" xfId="0" applyFont="1"/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1" fillId="0" fontId="2" numFmtId="0" xfId="0" applyAlignment="1" applyBorder="1" applyFont="1">
      <alignment horizontal="center" readingOrder="0" shrinkToFit="0" vertical="center" wrapText="0"/>
    </xf>
    <xf borderId="2" fillId="0" fontId="2" numFmtId="0" xfId="0" applyAlignment="1" applyBorder="1" applyFont="1">
      <alignment horizontal="center" readingOrder="0" shrinkToFit="0" vertical="center" wrapText="0"/>
    </xf>
    <xf borderId="3" fillId="0" fontId="2" numFmtId="0" xfId="0" applyAlignment="1" applyBorder="1" applyFont="1">
      <alignment horizontal="center" readingOrder="0" shrinkToFit="0" vertical="center" wrapText="0"/>
    </xf>
    <xf borderId="4" fillId="0" fontId="2" numFmtId="0" xfId="0" applyAlignment="1" applyBorder="1" applyFont="1">
      <alignment horizontal="center" readingOrder="0" shrinkToFit="0" vertical="center" wrapText="0"/>
    </xf>
    <xf borderId="5" fillId="0" fontId="2" numFmtId="0" xfId="0" applyAlignment="1" applyBorder="1" applyFont="1">
      <alignment horizontal="center" readingOrder="0" shrinkToFit="0" vertical="center" wrapText="0"/>
    </xf>
    <xf borderId="6" fillId="0" fontId="1" numFmtId="166" xfId="0" applyAlignment="1" applyBorder="1" applyFont="1" applyNumberFormat="1">
      <alignment horizontal="center" shrinkToFit="0" vertical="bottom" wrapText="0"/>
    </xf>
    <xf borderId="7" fillId="0" fontId="2" numFmtId="166" xfId="0" applyAlignment="1" applyBorder="1" applyFont="1" applyNumberFormat="1">
      <alignment horizontal="center" readingOrder="0" shrinkToFit="0" vertical="center" wrapText="0"/>
    </xf>
    <xf borderId="6" fillId="0" fontId="2" numFmtId="164" xfId="0" applyAlignment="1" applyBorder="1" applyFont="1" applyNumberFormat="1">
      <alignment horizontal="center" readingOrder="0" shrinkToFit="0" vertical="center" wrapText="0"/>
    </xf>
    <xf borderId="6" fillId="0" fontId="2" numFmtId="0" xfId="0" applyAlignment="1" applyBorder="1" applyFont="1">
      <alignment horizontal="center" shrinkToFit="0" vertical="center" wrapText="0"/>
    </xf>
    <xf borderId="6" fillId="0" fontId="2" numFmtId="0" xfId="0" applyAlignment="1" applyBorder="1" applyFont="1">
      <alignment horizontal="center" readingOrder="0" shrinkToFit="0" vertical="center" wrapText="0"/>
    </xf>
    <xf borderId="6" fillId="0" fontId="2" numFmtId="166" xfId="0" applyAlignment="1" applyBorder="1" applyFont="1" applyNumberFormat="1">
      <alignment horizontal="center" shrinkToFit="0" vertical="center" wrapText="0"/>
    </xf>
    <xf borderId="6" fillId="0" fontId="2" numFmtId="0" xfId="0" applyAlignment="1" applyBorder="1" applyFont="1">
      <alignment horizontal="center"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9" fillId="0" fontId="2" numFmtId="0" xfId="0" applyAlignment="1" applyBorder="1" applyFont="1">
      <alignment horizontal="center" readingOrder="0" shrinkToFit="0" vertical="center" wrapText="0"/>
    </xf>
    <xf borderId="10" fillId="0" fontId="2" numFmtId="166" xfId="0" applyAlignment="1" applyBorder="1" applyFont="1" applyNumberFormat="1">
      <alignment horizontal="center" readingOrder="0" shrinkToFit="0" vertical="center" wrapText="0"/>
    </xf>
    <xf borderId="10" fillId="0" fontId="2" numFmtId="164" xfId="0" applyAlignment="1" applyBorder="1" applyFont="1" applyNumberFormat="1">
      <alignment horizontal="center" readingOrder="0" shrinkToFit="0" vertical="center" wrapText="0"/>
    </xf>
    <xf borderId="10" fillId="0" fontId="2" numFmtId="0" xfId="0" applyAlignment="1" applyBorder="1" applyFont="1">
      <alignment horizontal="center" shrinkToFit="0" vertical="center" wrapText="0"/>
    </xf>
    <xf borderId="10" fillId="0" fontId="2" numFmtId="0" xfId="0" applyAlignment="1" applyBorder="1" applyFont="1">
      <alignment horizontal="center" readingOrder="0" shrinkToFit="0" vertical="center" wrapText="0"/>
    </xf>
    <xf borderId="10" fillId="0" fontId="2" numFmtId="166" xfId="0" applyAlignment="1" applyBorder="1" applyFont="1" applyNumberFormat="1">
      <alignment horizontal="center" shrinkToFit="0" vertical="center" wrapText="0"/>
    </xf>
    <xf borderId="10" fillId="0" fontId="2" numFmtId="0" xfId="0" applyAlignment="1" applyBorder="1" applyFont="1">
      <alignment horizontal="center" shrinkToFit="0" vertical="center" wrapText="0"/>
    </xf>
    <xf borderId="11" fillId="0" fontId="2" numFmtId="0" xfId="0" applyAlignment="1" applyBorder="1" applyFont="1">
      <alignment readingOrder="0" shrinkToFit="0" vertical="center" wrapText="0"/>
    </xf>
    <xf borderId="6" fillId="0" fontId="1" numFmtId="166" xfId="0" applyAlignment="1" applyBorder="1" applyFont="1" applyNumberFormat="1">
      <alignment horizontal="center" readingOrder="0" shrinkToFit="0" vertical="bottom" wrapText="0"/>
    </xf>
    <xf borderId="9" fillId="0" fontId="2" numFmtId="0" xfId="0" applyAlignment="1" applyBorder="1" applyFont="1">
      <alignment horizontal="center" shrinkToFit="0" vertical="center" wrapText="0"/>
    </xf>
    <xf borderId="10" fillId="0" fontId="2" numFmtId="166" xfId="0" applyAlignment="1" applyBorder="1" applyFont="1" applyNumberFormat="1">
      <alignment horizontal="center" shrinkToFit="0" vertical="center" wrapText="0"/>
    </xf>
    <xf borderId="7" fillId="0" fontId="2" numFmtId="166" xfId="0" applyAlignment="1" applyBorder="1" applyFont="1" applyNumberFormat="1">
      <alignment horizontal="center" shrinkToFit="0" vertical="center" wrapText="0"/>
    </xf>
    <xf borderId="10" fillId="0" fontId="2" numFmtId="164" xfId="0" applyAlignment="1" applyBorder="1" applyFont="1" applyNumberFormat="1">
      <alignment horizontal="center" shrinkToFit="0" vertical="center" wrapText="0"/>
    </xf>
    <xf borderId="10" fillId="0" fontId="2" numFmtId="0" xfId="0" applyAlignment="1" applyBorder="1" applyFont="1">
      <alignment horizontal="center" shrinkToFit="0" vertical="center" wrapText="0"/>
    </xf>
    <xf borderId="5" fillId="0" fontId="2" numFmtId="0" xfId="0" applyAlignment="1" applyBorder="1" applyFont="1">
      <alignment horizontal="center" shrinkToFit="0" vertical="center" wrapText="0"/>
    </xf>
    <xf borderId="6" fillId="0" fontId="2" numFmtId="166" xfId="0" applyAlignment="1" applyBorder="1" applyFont="1" applyNumberFormat="1">
      <alignment horizontal="center" shrinkToFit="0" vertical="center" wrapText="0"/>
    </xf>
    <xf borderId="6" fillId="0" fontId="2" numFmtId="164" xfId="0" applyAlignment="1" applyBorder="1" applyFont="1" applyNumberFormat="1">
      <alignment horizontal="center" shrinkToFit="0" vertical="center" wrapText="0"/>
    </xf>
    <xf borderId="8" fillId="0" fontId="2" numFmtId="0" xfId="0" applyAlignment="1" applyBorder="1" applyFont="1">
      <alignment shrinkToFit="0" vertical="center" wrapText="0"/>
    </xf>
    <xf borderId="11" fillId="0" fontId="2" numFmtId="0" xfId="0" applyAlignment="1" applyBorder="1" applyFont="1">
      <alignment shrinkToFit="0" vertical="center" wrapText="0"/>
    </xf>
    <xf borderId="6" fillId="0" fontId="2" numFmtId="0" xfId="0" applyAlignment="1" applyBorder="1" applyFont="1">
      <alignment horizontal="center" shrinkToFit="0" vertical="center" wrapText="0"/>
    </xf>
    <xf borderId="9" fillId="0" fontId="1" numFmtId="0" xfId="0" applyAlignment="1" applyBorder="1" applyFont="1">
      <alignment horizontal="center" shrinkToFit="0" vertical="bottom" wrapText="0"/>
    </xf>
    <xf borderId="14" fillId="0" fontId="2" numFmtId="0" xfId="0" applyAlignment="1" applyBorder="1" applyFont="1">
      <alignment readingOrder="0" shrinkToFit="0" vertical="center" wrapText="0"/>
    </xf>
    <xf borderId="17" fillId="0" fontId="2" numFmtId="166" xfId="0" applyAlignment="1" applyBorder="1" applyFont="1" applyNumberFormat="1">
      <alignment shrinkToFit="0" vertical="center" wrapText="0"/>
    </xf>
    <xf borderId="6" fillId="0" fontId="2" numFmtId="166" xfId="0" applyAlignment="1" applyBorder="1" applyFont="1" applyNumberFormat="1">
      <alignment horizontal="center" readingOrder="0" shrinkToFit="0" vertical="center" wrapText="0"/>
    </xf>
    <xf borderId="0" fillId="0" fontId="8" numFmtId="0" xfId="0" applyAlignment="1" applyFont="1">
      <alignment horizontal="center" vertical="bottom"/>
    </xf>
    <xf borderId="0" fillId="0" fontId="8" numFmtId="165" xfId="0" applyAlignment="1" applyFont="1" applyNumberFormat="1">
      <alignment horizontal="center" vertical="bottom"/>
    </xf>
    <xf borderId="14" fillId="0" fontId="2" numFmtId="0" xfId="0" applyAlignment="1" applyBorder="1" applyFont="1">
      <alignment horizontal="center" shrinkToFit="0" vertical="center" wrapText="0"/>
    </xf>
    <xf borderId="15" fillId="0" fontId="2" numFmtId="166" xfId="0" applyAlignment="1" applyBorder="1" applyFont="1" applyNumberFormat="1">
      <alignment horizontal="center" readingOrder="0" shrinkToFit="0" vertical="center" wrapText="0"/>
    </xf>
    <xf borderId="15" fillId="0" fontId="2" numFmtId="164" xfId="0" applyAlignment="1" applyBorder="1" applyFont="1" applyNumberFormat="1">
      <alignment horizontal="center" shrinkToFit="0" vertical="center" wrapText="0"/>
    </xf>
    <xf borderId="15" fillId="0" fontId="2" numFmtId="0" xfId="0" applyAlignment="1" applyBorder="1" applyFont="1">
      <alignment horizontal="center" shrinkToFit="0" vertical="center" wrapText="0"/>
    </xf>
    <xf borderId="15" fillId="0" fontId="2" numFmtId="0" xfId="0" applyAlignment="1" applyBorder="1" applyFont="1">
      <alignment horizontal="center" shrinkToFit="0" vertical="center" wrapText="0"/>
    </xf>
    <xf borderId="15" fillId="0" fontId="2" numFmtId="166" xfId="0" applyAlignment="1" applyBorder="1" applyFont="1" applyNumberFormat="1">
      <alignment horizontal="center" shrinkToFit="0" vertical="center" wrapText="0"/>
    </xf>
    <xf borderId="17" fillId="0" fontId="2" numFmtId="0" xfId="0" applyAlignment="1" applyBorder="1" applyFont="1">
      <alignment readingOrder="0" shrinkToFit="0" vertical="center" wrapText="0"/>
    </xf>
    <xf borderId="14" fillId="0" fontId="10" numFmtId="0" xfId="0" applyAlignment="1" applyBorder="1" applyFont="1">
      <alignment readingOrder="0" shrinkToFit="0" vertical="center" wrapText="0"/>
    </xf>
    <xf borderId="16" fillId="0" fontId="2" numFmtId="166" xfId="0" applyAlignment="1" applyBorder="1" applyFont="1" applyNumberFormat="1">
      <alignment horizontal="center" readingOrder="0" shrinkToFit="0" vertical="center" wrapText="0"/>
    </xf>
    <xf borderId="10" fillId="0" fontId="1" numFmtId="166" xfId="0" applyAlignment="1" applyBorder="1" applyFont="1" applyNumberFormat="1">
      <alignment horizontal="center" readingOrder="0" shrinkToFit="0" vertical="bottom" wrapText="0"/>
    </xf>
    <xf borderId="12" fillId="0" fontId="2" numFmtId="0" xfId="0" applyAlignment="1" applyBorder="1" applyFont="1">
      <alignment horizontal="center" readingOrder="0" shrinkToFit="0" vertical="center" wrapText="0"/>
    </xf>
    <xf borderId="18" fillId="0" fontId="2" numFmtId="166" xfId="0" applyAlignment="1" applyBorder="1" applyFont="1" applyNumberFormat="1">
      <alignment readingOrder="0" shrinkToFit="0" vertical="center" wrapText="0"/>
    </xf>
    <xf borderId="18" fillId="0" fontId="2" numFmtId="164" xfId="0" applyAlignment="1" applyBorder="1" applyFont="1" applyNumberFormat="1">
      <alignment readingOrder="0" shrinkToFit="0" vertical="center" wrapText="0"/>
    </xf>
    <xf borderId="18" fillId="0" fontId="2" numFmtId="0" xfId="0" applyAlignment="1" applyBorder="1" applyFont="1">
      <alignment horizontal="center" shrinkToFit="0" vertical="center" wrapText="0"/>
    </xf>
    <xf borderId="18" fillId="0" fontId="2" numFmtId="0" xfId="0" applyAlignment="1" applyBorder="1" applyFont="1">
      <alignment horizontal="center" shrinkToFit="0" vertical="center" wrapText="0"/>
    </xf>
    <xf borderId="18" fillId="0" fontId="2" numFmtId="0" xfId="0" applyAlignment="1" applyBorder="1" applyFont="1">
      <alignment horizontal="center" readingOrder="0" shrinkToFit="0" vertical="center" wrapText="0"/>
    </xf>
    <xf borderId="18" fillId="0" fontId="2" numFmtId="166" xfId="0" applyAlignment="1" applyBorder="1" applyFont="1" applyNumberFormat="1">
      <alignment horizontal="center" shrinkToFit="0" vertical="center" wrapText="0"/>
    </xf>
    <xf borderId="13" fillId="0" fontId="2" numFmtId="0" xfId="0" applyAlignment="1" applyBorder="1" applyFont="1">
      <alignment readingOrder="0" shrinkToFit="0" vertical="center" wrapText="0"/>
    </xf>
    <xf borderId="6" fillId="0" fontId="2" numFmtId="0" xfId="0" applyAlignment="1" applyBorder="1" applyFont="1">
      <alignment readingOrder="0" shrinkToFit="0" vertical="center" wrapText="0"/>
    </xf>
    <xf borderId="10" fillId="0" fontId="2" numFmtId="0" xfId="0" applyAlignment="1" applyBorder="1" applyFont="1">
      <alignment shrinkToFit="0" vertical="center" wrapText="0"/>
    </xf>
    <xf borderId="6" fillId="0" fontId="2" numFmtId="0" xfId="0" applyAlignment="1" applyBorder="1" applyFont="1">
      <alignment shrinkToFit="0" vertical="center" wrapText="0"/>
    </xf>
    <xf borderId="10" fillId="0" fontId="2" numFmtId="0" xfId="0" applyAlignment="1" applyBorder="1" applyFont="1">
      <alignment readingOrder="0" shrinkToFit="0" vertical="center" wrapText="0"/>
    </xf>
    <xf borderId="12" fillId="0" fontId="2" numFmtId="0" xfId="0" applyAlignment="1" applyBorder="1" applyFont="1">
      <alignment horizontal="center" shrinkToFit="0" vertical="center" wrapText="0"/>
    </xf>
    <xf borderId="18" fillId="0" fontId="2" numFmtId="166" xfId="0" applyAlignment="1" applyBorder="1" applyFont="1" applyNumberFormat="1">
      <alignment horizontal="center" readingOrder="0" shrinkToFit="0" vertical="center" wrapText="0"/>
    </xf>
    <xf borderId="18" fillId="0" fontId="2" numFmtId="164" xfId="0" applyAlignment="1" applyBorder="1" applyFont="1" applyNumberFormat="1">
      <alignment horizontal="center" readingOrder="0" shrinkToFit="0" vertical="center" wrapText="0"/>
    </xf>
    <xf borderId="18" fillId="0" fontId="2" numFmtId="0" xfId="0" applyAlignment="1" applyBorder="1" applyFont="1">
      <alignment shrinkToFit="0" vertical="center" wrapText="0"/>
    </xf>
    <xf borderId="9" fillId="0" fontId="4" numFmtId="0" xfId="0" applyAlignment="1" applyBorder="1" applyFont="1">
      <alignment horizontal="center" readingOrder="0" shrinkToFit="0" vertical="bottom" wrapText="0"/>
    </xf>
    <xf borderId="0" fillId="0" fontId="4" numFmtId="0" xfId="0" applyAlignment="1" applyFont="1">
      <alignment horizontal="center" vertical="bottom"/>
    </xf>
    <xf borderId="5" fillId="0" fontId="10" numFmtId="0" xfId="0" applyAlignment="1" applyBorder="1" applyFont="1">
      <alignment readingOrder="0" shrinkToFit="0" vertical="center" wrapText="0"/>
    </xf>
    <xf borderId="8" fillId="0" fontId="2" numFmtId="166" xfId="0" applyAlignment="1" applyBorder="1" applyFont="1" applyNumberFormat="1">
      <alignment shrinkToFit="0" vertical="center" wrapText="0"/>
    </xf>
    <xf borderId="12" fillId="0" fontId="10" numFmtId="0" xfId="0" applyAlignment="1" applyBorder="1" applyFont="1">
      <alignment readingOrder="0" shrinkToFit="0" vertical="center" wrapText="0"/>
    </xf>
    <xf borderId="13" fillId="0" fontId="2" numFmtId="166" xfId="0" applyAlignment="1" applyBorder="1" applyFont="1" applyNumberFormat="1">
      <alignment readingOrder="0" shrinkToFit="0" vertical="center" wrapText="0"/>
    </xf>
    <xf borderId="15" fillId="0" fontId="2" numFmtId="166" xfId="0" applyAlignment="1" applyBorder="1" applyFont="1" applyNumberFormat="1">
      <alignment readingOrder="0" shrinkToFit="0" vertical="center" wrapText="0"/>
    </xf>
    <xf borderId="15" fillId="0" fontId="2" numFmtId="164" xfId="0" applyAlignment="1" applyBorder="1" applyFont="1" applyNumberFormat="1">
      <alignment readingOrder="0" shrinkToFit="0" vertical="center" wrapText="0"/>
    </xf>
    <xf borderId="15" fillId="0" fontId="2" numFmtId="0" xfId="0" applyAlignment="1" applyBorder="1" applyFont="1">
      <alignment shrinkToFit="0" vertical="center" wrapText="0"/>
    </xf>
    <xf borderId="15" fillId="0" fontId="2" numFmtId="0" xfId="0" applyAlignment="1" applyBorder="1" applyFont="1">
      <alignment readingOrder="0" shrinkToFit="0" vertical="center" wrapText="0"/>
    </xf>
    <xf borderId="10" fillId="0" fontId="2" numFmtId="166" xfId="0" applyAlignment="1" applyBorder="1" applyFont="1" applyNumberFormat="1">
      <alignment readingOrder="0" shrinkToFit="0" vertical="center" wrapText="0"/>
    </xf>
    <xf borderId="10" fillId="0" fontId="2" numFmtId="164" xfId="0" applyAlignment="1" applyBorder="1" applyFont="1" applyNumberFormat="1">
      <alignment readingOrder="0" shrinkToFit="0" vertical="center" wrapText="0"/>
    </xf>
    <xf borderId="5" fillId="3" fontId="11" numFmtId="0" xfId="0" applyAlignment="1" applyBorder="1" applyFill="1" applyFont="1">
      <alignment horizontal="center" readingOrder="0" shrinkToFit="0" vertical="center" wrapText="0"/>
    </xf>
    <xf borderId="6" fillId="3" fontId="11" numFmtId="166" xfId="0" applyAlignment="1" applyBorder="1" applyFont="1" applyNumberFormat="1">
      <alignment horizontal="center" readingOrder="0" shrinkToFit="0" vertical="center" wrapText="0"/>
    </xf>
    <xf borderId="7" fillId="3" fontId="12" numFmtId="166" xfId="0" applyAlignment="1" applyBorder="1" applyFont="1" applyNumberFormat="1">
      <alignment readingOrder="0" shrinkToFit="0" vertical="center" wrapText="0"/>
    </xf>
    <xf borderId="6" fillId="3" fontId="12" numFmtId="164" xfId="0" applyAlignment="1" applyBorder="1" applyFont="1" applyNumberFormat="1">
      <alignment readingOrder="0" shrinkToFit="0" vertical="center" wrapText="0"/>
    </xf>
    <xf borderId="6" fillId="3" fontId="12" numFmtId="0" xfId="0" applyAlignment="1" applyBorder="1" applyFont="1">
      <alignment shrinkToFit="0" vertical="center" wrapText="0"/>
    </xf>
    <xf borderId="6" fillId="3" fontId="11" numFmtId="0" xfId="0" applyAlignment="1" applyBorder="1" applyFont="1">
      <alignment readingOrder="0" shrinkToFit="0" vertical="center" wrapText="0"/>
    </xf>
    <xf borderId="6" fillId="3" fontId="11" numFmtId="0" xfId="0" applyAlignment="1" applyBorder="1" applyFont="1">
      <alignment horizontal="center" shrinkToFit="0" vertical="center" wrapText="0"/>
    </xf>
    <xf borderId="6" fillId="3" fontId="11" numFmtId="166" xfId="0" applyAlignment="1" applyBorder="1" applyFont="1" applyNumberFormat="1">
      <alignment horizontal="center" shrinkToFit="0" vertical="center" wrapText="0"/>
    </xf>
    <xf borderId="8" fillId="3" fontId="13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0" fillId="0" fontId="12" numFmtId="0" xfId="0" applyAlignment="1" applyFont="1">
      <alignment vertical="bottom"/>
    </xf>
    <xf borderId="0" fillId="0" fontId="12" numFmtId="165" xfId="0" applyAlignment="1" applyFont="1" applyNumberFormat="1">
      <alignment vertical="bottom"/>
    </xf>
    <xf borderId="15" fillId="0" fontId="2" numFmtId="164" xfId="0" applyAlignment="1" applyBorder="1" applyFont="1" applyNumberForma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0">
    <tableStyle count="4" pivot="0" name="Jan2025-style">
      <tableStyleElement dxfId="2" type="headerRow"/>
      <tableStyleElement dxfId="3" type="firstRowStripe"/>
      <tableStyleElement dxfId="4" type="secondRowStripe"/>
      <tableStyleElement dxfId="1" size="0" type="wholeTable"/>
    </tableStyle>
    <tableStyle count="4" pivot="0" name="Jan2025-style 2">
      <tableStyleElement dxfId="2" type="headerRow"/>
      <tableStyleElement dxfId="3" type="firstRowStripe"/>
      <tableStyleElement dxfId="4" type="secondRowStripe"/>
      <tableStyleElement dxfId="1" size="0" type="wholeTable"/>
    </tableStyle>
    <tableStyle count="4" pivot="0" name="Fev2025-style">
      <tableStyleElement dxfId="2" type="headerRow"/>
      <tableStyleElement dxfId="3" type="firstRowStripe"/>
      <tableStyleElement dxfId="4" type="secondRowStripe"/>
      <tableStyleElement dxfId="1" size="0" type="wholeTable"/>
    </tableStyle>
    <tableStyle count="4" pivot="0" name="Fev2025-style 2">
      <tableStyleElement dxfId="2" type="headerRow"/>
      <tableStyleElement dxfId="3" type="firstRowStripe"/>
      <tableStyleElement dxfId="4" type="secondRowStripe"/>
      <tableStyleElement dxfId="1" size="0" type="wholeTable"/>
    </tableStyle>
    <tableStyle count="4" pivot="0" name="mar2025-style">
      <tableStyleElement dxfId="2" type="headerRow"/>
      <tableStyleElement dxfId="3" type="firstRowStripe"/>
      <tableStyleElement dxfId="4" type="secondRowStripe"/>
      <tableStyleElement dxfId="1" size="0" type="wholeTable"/>
    </tableStyle>
    <tableStyle count="4" pivot="0" name="mar2025-style 2">
      <tableStyleElement dxfId="2" type="headerRow"/>
      <tableStyleElement dxfId="3" type="firstRowStripe"/>
      <tableStyleElement dxfId="4" type="secondRowStripe"/>
      <tableStyleElement dxfId="1" size="0" type="wholeTable"/>
    </tableStyle>
    <tableStyle count="4" pivot="0" name="abr2025-style">
      <tableStyleElement dxfId="2" type="headerRow"/>
      <tableStyleElement dxfId="3" type="firstRowStripe"/>
      <tableStyleElement dxfId="4" type="secondRowStripe"/>
      <tableStyleElement dxfId="1" size="0" type="wholeTable"/>
    </tableStyle>
    <tableStyle count="4" pivot="0" name="abr2025-style 2">
      <tableStyleElement dxfId="2" type="headerRow"/>
      <tableStyleElement dxfId="3" type="firstRowStripe"/>
      <tableStyleElement dxfId="4" type="secondRowStripe"/>
      <tableStyleElement dxfId="1" size="0" type="wholeTable"/>
    </tableStyle>
    <tableStyle count="4" pivot="0" name="mai2025-style">
      <tableStyleElement dxfId="2" type="headerRow"/>
      <tableStyleElement dxfId="3" type="firstRowStripe"/>
      <tableStyleElement dxfId="4" type="secondRowStripe"/>
      <tableStyleElement dxfId="1" size="0" type="wholeTable"/>
    </tableStyle>
    <tableStyle count="4" pivot="0" name="mai2025-style 2">
      <tableStyleElement dxfId="2" type="headerRow"/>
      <tableStyleElement dxfId="3" type="firstRowStripe"/>
      <tableStyleElement dxfId="4" type="secondRowStripe"/>
      <tableStyleElement dxfId="1" size="0" type="wholeTable"/>
    </tableStyle>
    <tableStyle count="4" pivot="0" name="jun2025-style">
      <tableStyleElement dxfId="2" type="headerRow"/>
      <tableStyleElement dxfId="3" type="firstRowStripe"/>
      <tableStyleElement dxfId="4" type="secondRowStripe"/>
      <tableStyleElement dxfId="1" size="0" type="wholeTable"/>
    </tableStyle>
    <tableStyle count="4" pivot="0" name="jun2025-style 2">
      <tableStyleElement dxfId="2" type="headerRow"/>
      <tableStyleElement dxfId="3" type="firstRowStripe"/>
      <tableStyleElement dxfId="4" type="secondRowStripe"/>
      <tableStyleElement dxfId="1" size="0" type="wholeTable"/>
    </tableStyle>
    <tableStyle count="4" pivot="0" name="jul2025-style">
      <tableStyleElement dxfId="2" type="headerRow"/>
      <tableStyleElement dxfId="3" type="firstRowStripe"/>
      <tableStyleElement dxfId="4" type="secondRowStripe"/>
      <tableStyleElement dxfId="1" size="0" type="wholeTable"/>
    </tableStyle>
    <tableStyle count="4" pivot="0" name="jul2025-style 2">
      <tableStyleElement dxfId="2" type="headerRow"/>
      <tableStyleElement dxfId="3" type="firstRowStripe"/>
      <tableStyleElement dxfId="4" type="secondRowStripe"/>
      <tableStyleElement dxfId="1" size="0" type="wholeTable"/>
    </tableStyle>
    <tableStyle count="4" pivot="0" name="ago2025-style">
      <tableStyleElement dxfId="2" type="headerRow"/>
      <tableStyleElement dxfId="3" type="firstRowStripe"/>
      <tableStyleElement dxfId="4" type="secondRowStripe"/>
      <tableStyleElement dxfId="1" size="0" type="wholeTable"/>
    </tableStyle>
    <tableStyle count="4" pivot="0" name="ago2025-style 2">
      <tableStyleElement dxfId="2" type="headerRow"/>
      <tableStyleElement dxfId="3" type="firstRowStripe"/>
      <tableStyleElement dxfId="4" type="secondRowStripe"/>
      <tableStyleElement dxfId="1" size="0" type="wholeTable"/>
    </tableStyle>
    <tableStyle count="4" pivot="0" name="set2025-style">
      <tableStyleElement dxfId="2" type="headerRow"/>
      <tableStyleElement dxfId="3" type="firstRowStripe"/>
      <tableStyleElement dxfId="4" type="secondRowStripe"/>
      <tableStyleElement dxfId="1" size="0" type="wholeTable"/>
    </tableStyle>
    <tableStyle count="4" pivot="0" name="set2025-style 2">
      <tableStyleElement dxfId="2" type="headerRow"/>
      <tableStyleElement dxfId="3" type="firstRowStripe"/>
      <tableStyleElement dxfId="4" type="secondRowStripe"/>
      <tableStyleElement dxfId="1" size="0" type="wholeTable"/>
    </tableStyle>
    <tableStyle count="4" pivot="0" name="out2025-style">
      <tableStyleElement dxfId="2" type="headerRow"/>
      <tableStyleElement dxfId="3" type="firstRowStripe"/>
      <tableStyleElement dxfId="4" type="secondRowStripe"/>
      <tableStyleElement dxfId="1" size="0" type="wholeTable"/>
    </tableStyle>
    <tableStyle count="4" pivot="0" name="out2025-style 2">
      <tableStyleElement dxfId="2" type="headerRow"/>
      <tableStyleElement dxfId="3" type="firstRowStripe"/>
      <tableStyleElement dxfId="4" type="secondRowStripe"/>
      <tableStyleElement dxfId="1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24" displayName="jan" name="jan" id="1">
  <tableColumns count="10">
    <tableColumn name="Contas descritas" id="1"/>
    <tableColumn name="valor" id="2"/>
    <tableColumn name="valor pago" id="3"/>
    <tableColumn name="data" id="4"/>
    <tableColumn name="mes" id="5"/>
    <tableColumn name="dia venc" id="6"/>
    <tableColumn name="n parc" id="7"/>
    <tableColumn name="total devido" id="8"/>
    <tableColumn name="parc falta" id="9"/>
    <tableColumn name="pago em" id="10"/>
  </tableColumns>
  <tableStyleInfo name="Jan2025-style" showColumnStripes="0" showFirstColumn="1" showLastColumn="1" showRowStripes="1"/>
</table>
</file>

<file path=xl/tables/table2.xml><?xml version="1.0" encoding="utf-8"?>
<table xmlns="http://schemas.openxmlformats.org/spreadsheetml/2006/main" ref="L1:M13" displayName="Tabela_2" name="Tabela_2" id="2">
  <tableColumns count="2">
    <tableColumn name="Total" id="1"/>
    <tableColumn name="valores Total" id="2"/>
  </tableColumns>
  <tableStyleInfo name="Jan2025-style 2" showColumnStripes="0" showFirstColumn="1" showLastColumn="1" showRowStripes="1"/>
</table>
</file>

<file path=xl/tables/table3.xml><?xml version="1.0" encoding="utf-8"?>
<table xmlns="http://schemas.openxmlformats.org/spreadsheetml/2006/main" ref="A1:J12" displayName="fev" name="fev" id="3">
  <tableColumns count="10">
    <tableColumn name="Contas descritas" id="1"/>
    <tableColumn name="valor" id="2"/>
    <tableColumn name="valor pago" id="3"/>
    <tableColumn name="data" id="4"/>
    <tableColumn name="mes" id="5"/>
    <tableColumn name="dia venc." id="6"/>
    <tableColumn name="n parc" id="7"/>
    <tableColumn name="total devido" id="8"/>
    <tableColumn name="parc falta" id="9"/>
    <tableColumn name="pago em" id="10"/>
  </tableColumns>
  <tableStyleInfo name="Fev2025-style" showColumnStripes="0" showFirstColumn="1" showLastColumn="1" showRowStripes="1"/>
</table>
</file>

<file path=xl/tables/table4.xml><?xml version="1.0" encoding="utf-8"?>
<table xmlns="http://schemas.openxmlformats.org/spreadsheetml/2006/main" ref="L1:M13" displayName="Tabela_1" name="Tabela_1" id="4">
  <tableColumns count="2">
    <tableColumn name="Total" id="1"/>
    <tableColumn name="valores Total" id="2"/>
  </tableColumns>
  <tableStyleInfo name="Fev2025-style 2" showColumnStripes="0" showFirstColumn="1" showLastColumn="1" showRowStripes="1"/>
</table>
</file>

<file path=xl/tables/table5.xml><?xml version="1.0" encoding="utf-8"?>
<table xmlns="http://schemas.openxmlformats.org/spreadsheetml/2006/main" ref="A1:J50" displayName="mar" name="mar" id="5">
  <autoFilter ref="$A$1:$J$50"/>
  <tableColumns count="10">
    <tableColumn name="Contas descritas" id="1"/>
    <tableColumn name="valor" id="2"/>
    <tableColumn name="valor pago" id="3"/>
    <tableColumn name="data" id="4"/>
    <tableColumn name="mes" id="5"/>
    <tableColumn name="dia venc" id="6"/>
    <tableColumn name="n parc" id="7"/>
    <tableColumn name="total devido" id="8"/>
    <tableColumn name="parc falta" id="9"/>
    <tableColumn name="pago em" id="10"/>
  </tableColumns>
  <tableStyleInfo name="mar2025-style" showColumnStripes="0" showFirstColumn="1" showLastColumn="1" showRowStripes="1"/>
</table>
</file>

<file path=xl/tables/table6.xml><?xml version="1.0" encoding="utf-8"?>
<table xmlns="http://schemas.openxmlformats.org/spreadsheetml/2006/main" ref="L1:M13" displayName="Tabela_3" name="Tabela_3" id="6">
  <tableColumns count="2">
    <tableColumn name="Total" id="1"/>
    <tableColumn name="valores Total" id="2"/>
  </tableColumns>
  <tableStyleInfo name="mar2025-style 2" showColumnStripes="0" showFirstColumn="1" showLastColumn="1" showRowStripes="1"/>
</table>
</file>

<file path=xl/tables/table7.xml><?xml version="1.0" encoding="utf-8"?>
<table xmlns="http://schemas.openxmlformats.org/spreadsheetml/2006/main" ref="A1:J34" displayName="contas" name="contas" id="7">
  <tableColumns count="10">
    <tableColumn name="Contas descritas" id="1"/>
    <tableColumn name="valor" id="2"/>
    <tableColumn name="valor pago" id="3"/>
    <tableColumn name="data" id="4"/>
    <tableColumn name="mes" id="5"/>
    <tableColumn name="dia venc" id="6"/>
    <tableColumn name="n parc" id="7"/>
    <tableColumn name="total devido" id="8"/>
    <tableColumn name="parc falta" id="9"/>
    <tableColumn name="pago em" id="10"/>
  </tableColumns>
  <tableStyleInfo name="abr2025-style" showColumnStripes="0" showFirstColumn="1" showLastColumn="1" showRowStripes="1"/>
</table>
</file>

<file path=xl/tables/table8.xml><?xml version="1.0" encoding="utf-8"?>
<table xmlns="http://schemas.openxmlformats.org/spreadsheetml/2006/main" ref="L1:M14" displayName="totais" name="totais" id="8">
  <tableColumns count="2">
    <tableColumn name="Total" id="1"/>
    <tableColumn name="valores Total" id="2"/>
  </tableColumns>
  <tableStyleInfo name="abr2025-style 2" showColumnStripes="0" showFirstColumn="1" showLastColumn="1" showRowStripes="1"/>
</table>
</file>

<file path=xl/tables/table9.xml><?xml version="1.0" encoding="utf-8"?>
<table xmlns="http://schemas.openxmlformats.org/spreadsheetml/2006/main" ref="A1:J28" displayName="contas_2" name="contas_2" id="9">
  <tableColumns count="10">
    <tableColumn name="Contas descritas" id="1"/>
    <tableColumn name="valor" id="2"/>
    <tableColumn name="valor pago" id="3"/>
    <tableColumn name="data" id="4"/>
    <tableColumn name="mes" id="5"/>
    <tableColumn name="dia venc" id="6"/>
    <tableColumn name="n parc" id="7"/>
    <tableColumn name="total devido" id="8"/>
    <tableColumn name="parc falta" id="9"/>
    <tableColumn name="pago em" id="10"/>
  </tableColumns>
  <tableStyleInfo name="mai2025-style" showColumnStripes="0" showFirstColumn="1" showLastColumn="1" showRowStripes="1"/>
</table>
</file>

<file path=xl/tables/table10.xml><?xml version="1.0" encoding="utf-8"?>
<table xmlns="http://schemas.openxmlformats.org/spreadsheetml/2006/main" ref="L1:M14" displayName="totais_2" name="totais_2" id="10">
  <tableColumns count="2">
    <tableColumn name="Total" id="1"/>
    <tableColumn name="valores Total" id="2"/>
  </tableColumns>
  <tableStyleInfo name="mai2025-style 2" showColumnStripes="0" showFirstColumn="1" showLastColumn="1" showRowStripes="1"/>
</table>
</file>

<file path=xl/tables/table11.xml><?xml version="1.0" encoding="utf-8"?>
<table xmlns="http://schemas.openxmlformats.org/spreadsheetml/2006/main" ref="A1:J29" displayName="contas_3" name="contas_3" id="11">
  <tableColumns count="10">
    <tableColumn name="Contas descritas" id="1"/>
    <tableColumn name="valor" id="2"/>
    <tableColumn name="valor pago" id="3"/>
    <tableColumn name="data" id="4"/>
    <tableColumn name="mes" id="5"/>
    <tableColumn name="dia venc" id="6"/>
    <tableColumn name="n parc" id="7"/>
    <tableColumn name="total devido" id="8"/>
    <tableColumn name="parc falta" id="9"/>
    <tableColumn name="pago em" id="10"/>
  </tableColumns>
  <tableStyleInfo name="jun2025-style" showColumnStripes="0" showFirstColumn="1" showLastColumn="1" showRowStripes="1"/>
</table>
</file>

<file path=xl/tables/table12.xml><?xml version="1.0" encoding="utf-8"?>
<table xmlns="http://schemas.openxmlformats.org/spreadsheetml/2006/main" ref="L1:M14" displayName="totais_3" name="totais_3" id="12">
  <tableColumns count="2">
    <tableColumn name="Total" id="1"/>
    <tableColumn name="valores Total" id="2"/>
  </tableColumns>
  <tableStyleInfo name="jun2025-style 2" showColumnStripes="0" showFirstColumn="1" showLastColumn="1" showRowStripes="1"/>
</table>
</file>

<file path=xl/tables/table13.xml><?xml version="1.0" encoding="utf-8"?>
<table xmlns="http://schemas.openxmlformats.org/spreadsheetml/2006/main" ref="A1:J27" displayName="contas_4" name="contas_4" id="13">
  <tableColumns count="10">
    <tableColumn name="Contas descritas" id="1"/>
    <tableColumn name="valor" id="2"/>
    <tableColumn name="valor pago" id="3"/>
    <tableColumn name="data" id="4"/>
    <tableColumn name="mes" id="5"/>
    <tableColumn name="dia venc" id="6"/>
    <tableColumn name="n parc" id="7"/>
    <tableColumn name="total devido" id="8"/>
    <tableColumn name="parc falta" id="9"/>
    <tableColumn name="pago em" id="10"/>
  </tableColumns>
  <tableStyleInfo name="jul2025-style" showColumnStripes="0" showFirstColumn="1" showLastColumn="1" showRowStripes="1"/>
</table>
</file>

<file path=xl/tables/table14.xml><?xml version="1.0" encoding="utf-8"?>
<table xmlns="http://schemas.openxmlformats.org/spreadsheetml/2006/main" ref="L1:M14" displayName="totais_4" name="totais_4" id="14">
  <tableColumns count="2">
    <tableColumn name="Total" id="1"/>
    <tableColumn name="valores Total" id="2"/>
  </tableColumns>
  <tableStyleInfo name="jul2025-style 2" showColumnStripes="0" showFirstColumn="1" showLastColumn="1" showRowStripes="1"/>
</table>
</file>

<file path=xl/tables/table15.xml><?xml version="1.0" encoding="utf-8"?>
<table xmlns="http://schemas.openxmlformats.org/spreadsheetml/2006/main" ref="A1:J27" displayName="contas_5" name="contas_5" id="15">
  <tableColumns count="10">
    <tableColumn name="Contas descritas" id="1"/>
    <tableColumn name="valor" id="2"/>
    <tableColumn name="valor pago" id="3"/>
    <tableColumn name="data" id="4"/>
    <tableColumn name="mes" id="5"/>
    <tableColumn name="dia venc" id="6"/>
    <tableColumn name="n parc" id="7"/>
    <tableColumn name="total devido" id="8"/>
    <tableColumn name="parc falta" id="9"/>
    <tableColumn name="pago em" id="10"/>
  </tableColumns>
  <tableStyleInfo name="ago2025-style" showColumnStripes="0" showFirstColumn="1" showLastColumn="1" showRowStripes="1"/>
</table>
</file>

<file path=xl/tables/table16.xml><?xml version="1.0" encoding="utf-8"?>
<table xmlns="http://schemas.openxmlformats.org/spreadsheetml/2006/main" ref="L1:M14" displayName="totais_5" name="totais_5" id="16">
  <tableColumns count="2">
    <tableColumn name="Total" id="1"/>
    <tableColumn name="valores Total" id="2"/>
  </tableColumns>
  <tableStyleInfo name="ago2025-style 2" showColumnStripes="0" showFirstColumn="1" showLastColumn="1" showRowStripes="1"/>
</table>
</file>

<file path=xl/tables/table17.xml><?xml version="1.0" encoding="utf-8"?>
<table xmlns="http://schemas.openxmlformats.org/spreadsheetml/2006/main" ref="A1:J28" displayName="contas_6" name="contas_6" id="17">
  <tableColumns count="10">
    <tableColumn name="Contas descritas" id="1"/>
    <tableColumn name="valor" id="2"/>
    <tableColumn name="valor pago" id="3"/>
    <tableColumn name="data" id="4"/>
    <tableColumn name="mes" id="5"/>
    <tableColumn name="dia venc" id="6"/>
    <tableColumn name="n parc" id="7"/>
    <tableColumn name="total devido" id="8"/>
    <tableColumn name="parc falta" id="9"/>
    <tableColumn name="pago em" id="10"/>
  </tableColumns>
  <tableStyleInfo name="set2025-style" showColumnStripes="0" showFirstColumn="1" showLastColumn="1" showRowStripes="1"/>
</table>
</file>

<file path=xl/tables/table18.xml><?xml version="1.0" encoding="utf-8"?>
<table xmlns="http://schemas.openxmlformats.org/spreadsheetml/2006/main" ref="L1:M15" displayName="totais_6" name="totais_6" id="18">
  <tableColumns count="2">
    <tableColumn name="Total" id="1"/>
    <tableColumn name="valores Total" id="2"/>
  </tableColumns>
  <tableStyleInfo name="set2025-style 2" showColumnStripes="0" showFirstColumn="1" showLastColumn="1" showRowStripes="1"/>
</table>
</file>

<file path=xl/tables/table19.xml><?xml version="1.0" encoding="utf-8"?>
<table xmlns="http://schemas.openxmlformats.org/spreadsheetml/2006/main" ref="A1:J30" displayName="contas_7" name="contas_7" id="19">
  <tableColumns count="10">
    <tableColumn name="Contas descritas" id="1"/>
    <tableColumn name="valor" id="2"/>
    <tableColumn name="valor pago" id="3"/>
    <tableColumn name="data" id="4"/>
    <tableColumn name="mes" id="5"/>
    <tableColumn name="dia venc" id="6"/>
    <tableColumn name="n parc" id="7"/>
    <tableColumn name="total devido" id="8"/>
    <tableColumn name="parc falta" id="9"/>
    <tableColumn name="pago em" id="10"/>
  </tableColumns>
  <tableStyleInfo name="out2025-style" showColumnStripes="0" showFirstColumn="1" showLastColumn="1" showRowStripes="1"/>
</table>
</file>

<file path=xl/tables/table20.xml><?xml version="1.0" encoding="utf-8"?>
<table xmlns="http://schemas.openxmlformats.org/spreadsheetml/2006/main" ref="L1:M15" displayName="totais_7" name="totais_7" id="20">
  <tableColumns count="2">
    <tableColumn name="Total" id="1"/>
    <tableColumn name="valores Total" id="2"/>
  </tableColumns>
  <tableStyleInfo name="out2025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71924"/>
      </a:dk1>
      <a:lt1>
        <a:srgbClr val="FFFFFF"/>
      </a:lt1>
      <a:dk2>
        <a:srgbClr val="071924"/>
      </a:dk2>
      <a:lt2>
        <a:srgbClr val="FFFFFF"/>
      </a:lt2>
      <a:accent1>
        <a:srgbClr val="002F4A"/>
      </a:accent1>
      <a:accent2>
        <a:srgbClr val="B85741"/>
      </a:accent2>
      <a:accent3>
        <a:srgbClr val="AD8463"/>
      </a:accent3>
      <a:accent4>
        <a:srgbClr val="009384"/>
      </a:accent4>
      <a:accent5>
        <a:srgbClr val="EDDAC9"/>
      </a:accent5>
      <a:accent6>
        <a:srgbClr val="6FC8D6"/>
      </a:accent6>
      <a:hlink>
        <a:srgbClr val="009384"/>
      </a:hlink>
      <a:folHlink>
        <a:srgbClr val="009384"/>
      </a:folHlink>
    </a:clrScheme>
    <a:fontScheme name="Sheets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7.xml"/><Relationship Id="rId5" Type="http://schemas.openxmlformats.org/officeDocument/2006/relationships/table" Target="../tables/table8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9.xml"/><Relationship Id="rId5" Type="http://schemas.openxmlformats.org/officeDocument/2006/relationships/table" Target="../tables/table10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11.xml"/><Relationship Id="rId5" Type="http://schemas.openxmlformats.org/officeDocument/2006/relationships/table" Target="../tables/table12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4" Type="http://schemas.openxmlformats.org/officeDocument/2006/relationships/table" Target="../tables/table13.xml"/><Relationship Id="rId5" Type="http://schemas.openxmlformats.org/officeDocument/2006/relationships/table" Target="../tables/table14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15.xml"/><Relationship Id="rId5" Type="http://schemas.openxmlformats.org/officeDocument/2006/relationships/table" Target="../tables/table16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4" Type="http://schemas.openxmlformats.org/officeDocument/2006/relationships/table" Target="../tables/table17.xml"/><Relationship Id="rId5" Type="http://schemas.openxmlformats.org/officeDocument/2006/relationships/table" Target="../tables/table18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4" Type="http://schemas.openxmlformats.org/officeDocument/2006/relationships/table" Target="../tables/table19.xml"/><Relationship Id="rId5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7.13"/>
    <col customWidth="1" min="2" max="2" width="12.75"/>
    <col customWidth="1" min="3" max="3" width="17.25"/>
    <col customWidth="1" min="4" max="5" width="12.38"/>
    <col customWidth="1" min="6" max="6" width="10.63"/>
    <col customWidth="1" min="7" max="7" width="18.13"/>
    <col customWidth="1" min="8" max="8" width="13.0"/>
    <col customWidth="1" min="9" max="9" width="15.88"/>
    <col customWidth="1" min="10" max="10" width="14.5"/>
    <col customWidth="1" min="12" max="12" width="18.7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2" t="s">
        <v>5</v>
      </c>
      <c r="G1" s="6" t="s">
        <v>6</v>
      </c>
      <c r="H1" s="6" t="s">
        <v>7</v>
      </c>
      <c r="I1" s="6" t="s">
        <v>8</v>
      </c>
      <c r="J1" s="7" t="s">
        <v>9</v>
      </c>
      <c r="K1" s="8"/>
      <c r="L1" s="9" t="s">
        <v>10</v>
      </c>
      <c r="M1" s="10" t="s">
        <v>11</v>
      </c>
    </row>
    <row r="2">
      <c r="A2" s="11" t="s">
        <v>12</v>
      </c>
      <c r="B2" s="12">
        <v>312.85</v>
      </c>
      <c r="C2" s="13">
        <v>312.85</v>
      </c>
      <c r="D2" s="14">
        <v>45657.0</v>
      </c>
      <c r="E2" s="15" t="str">
        <f>IF(jan[data]&lt;&gt;"",UPPER(TEXT(jan[data],"mmm")), "")</f>
        <v>DEZ.</v>
      </c>
      <c r="F2" s="16">
        <v>1.0</v>
      </c>
      <c r="G2" s="16">
        <v>8.0</v>
      </c>
      <c r="H2" s="17">
        <f>IF(jan[n parc] = 999, jan[valor] *1 - jan[valor pago] , jan[valor]*jan[n parc] - jan[valor pago])
</f>
        <v>2189.95</v>
      </c>
      <c r="I2" s="18">
        <f>IF(jan[valor pago]="",jan[n parc], IF(jan[n parc]=999, 999, IF(AND(jan[n parc]=1,jan[total devido]=0),jan[n parc]-1, IF(AND(jan[n parc]&gt;1, OR(jan[total devido]&lt;&gt;0,jan[total devido]=0)),jan[n parc]-1,jan[n parc]))))</f>
        <v>7</v>
      </c>
      <c r="J2" s="19" t="s">
        <v>13</v>
      </c>
      <c r="K2" s="8"/>
      <c r="L2" s="20" t="s">
        <v>14</v>
      </c>
      <c r="M2" s="21">
        <f>SUM(jan[valor])</f>
        <v>12449.42</v>
      </c>
    </row>
    <row r="3">
      <c r="A3" s="22" t="s">
        <v>15</v>
      </c>
      <c r="B3" s="23">
        <f>1573.09+3904.98</f>
        <v>5478.07</v>
      </c>
      <c r="C3" s="24"/>
      <c r="D3" s="25">
        <v>45658.0</v>
      </c>
      <c r="E3" s="26" t="str">
        <f>IF(jan[data]&lt;&gt;"",UPPER(TEXT(jan[data],"mmm")), "")</f>
        <v>JAN.</v>
      </c>
      <c r="F3" s="27"/>
      <c r="G3" s="27"/>
      <c r="H3" s="28">
        <f>IF(jan[n parc] = 999, jan[valor] *1 - jan[valor pago] , jan[valor]*jan[n parc] - jan[valor pago])
</f>
        <v>0</v>
      </c>
      <c r="I3" s="18" t="str">
        <f>IF(jan[valor pago]="",jan[n parc], IF(jan[n parc]=999, 999, IF(AND(jan[n parc]=1,jan[total devido]=0),jan[n parc]-1, IF(AND(jan[n parc]&gt;1, OR(jan[total devido]&lt;&gt;0,jan[total devido]=0)),jan[n parc]-1,jan[n parc]))))</f>
        <v/>
      </c>
      <c r="J3" s="29" t="s">
        <v>15</v>
      </c>
      <c r="K3" s="30"/>
      <c r="L3" s="31" t="s">
        <v>16</v>
      </c>
      <c r="M3" s="32">
        <f>M2-M7-M8</f>
        <v>6293.84</v>
      </c>
    </row>
    <row r="4">
      <c r="A4" s="33" t="s">
        <v>17</v>
      </c>
      <c r="B4" s="12">
        <v>76.52</v>
      </c>
      <c r="C4" s="13">
        <v>76.52</v>
      </c>
      <c r="D4" s="14">
        <v>45658.0</v>
      </c>
      <c r="E4" s="34" t="str">
        <f>IF(jan[data]&lt;&gt;"",UPPER(TEXT(jan[data],"mmm")), "")</f>
        <v>JAN.</v>
      </c>
      <c r="F4" s="35">
        <v>1.0</v>
      </c>
      <c r="G4" s="16">
        <v>1.0</v>
      </c>
      <c r="H4" s="17">
        <f>IF(jan[n parc] = 999, jan[valor] *1 - jan[valor pago] , jan[valor]*jan[n parc] - jan[valor pago])
</f>
        <v>0</v>
      </c>
      <c r="I4" s="18">
        <f>IF(jan[valor pago]="",jan[n parc], IF(jan[n parc]=999, 999, IF(AND(jan[n parc]=1,jan[total devido]=0),jan[n parc]-1, IF(AND(jan[n parc]&gt;1, OR(jan[total devido]&lt;&gt;0,jan[total devido]=0)),jan[n parc]-1,jan[n parc]))))</f>
        <v>0</v>
      </c>
      <c r="J4" s="19" t="s">
        <v>18</v>
      </c>
      <c r="K4" s="8"/>
      <c r="L4" s="20" t="s">
        <v>19</v>
      </c>
      <c r="M4" s="21">
        <f>SUMIF(jan[pago em], "pagamento", jan[valor])</f>
        <v>5478.07</v>
      </c>
    </row>
    <row r="5" ht="14.25" customHeight="1">
      <c r="A5" s="22" t="s">
        <v>20</v>
      </c>
      <c r="B5" s="24">
        <v>341.25</v>
      </c>
      <c r="C5" s="13">
        <v>341.25</v>
      </c>
      <c r="D5" s="25">
        <v>45656.0</v>
      </c>
      <c r="E5" s="36" t="str">
        <f>IF(jan[data]&lt;&gt;"",UPPER(TEXT(jan[data],"mmm")), "")</f>
        <v>DEZ.</v>
      </c>
      <c r="F5" s="27">
        <v>1.0</v>
      </c>
      <c r="G5" s="27">
        <v>1.0</v>
      </c>
      <c r="H5" s="28">
        <f>IF(jan[n parc] = 999, jan[valor] *1 - jan[valor pago] , jan[valor]*jan[n parc] - jan[valor pago])
</f>
        <v>0</v>
      </c>
      <c r="I5" s="18">
        <f>IF(jan[valor pago]="",jan[n parc], IF(jan[n parc]=999, 999, IF(AND(jan[n parc]=1,jan[total devido]=0),jan[n parc]-1, IF(AND(jan[n parc]&gt;1, OR(jan[total devido]&lt;&gt;0,jan[total devido]=0)),jan[n parc]-1,jan[n parc]))))</f>
        <v>0</v>
      </c>
      <c r="J5" s="29" t="s">
        <v>13</v>
      </c>
      <c r="K5" s="8"/>
      <c r="L5" s="31" t="s">
        <v>21</v>
      </c>
      <c r="M5" s="37">
        <f>SUM(jan[total devido])</f>
        <v>11070.81</v>
      </c>
    </row>
    <row r="6">
      <c r="A6" s="33" t="s">
        <v>22</v>
      </c>
      <c r="B6" s="12">
        <v>44.9</v>
      </c>
      <c r="C6" s="13">
        <v>44.9</v>
      </c>
      <c r="D6" s="14">
        <v>45658.0</v>
      </c>
      <c r="E6" s="34" t="str">
        <f>IF(jan[data]&lt;&gt;"",UPPER(TEXT(jan[data],"mmm")), "")</f>
        <v>JAN.</v>
      </c>
      <c r="F6" s="16">
        <v>1.0</v>
      </c>
      <c r="G6" s="16">
        <v>1.0</v>
      </c>
      <c r="H6" s="17">
        <f>IF(jan[n parc] = 999, jan[valor] *1 - jan[valor pago] , jan[valor]*jan[n parc] - jan[valor pago])
</f>
        <v>0</v>
      </c>
      <c r="I6" s="18">
        <f>IF(jan[valor pago]="",jan[n parc], IF(jan[n parc]=999, 999, IF(AND(jan[n parc]=1,jan[total devido]=0),jan[n parc]-1, IF(AND(jan[n parc]&gt;1, OR(jan[total devido]&lt;&gt;0,jan[total devido]=0)),jan[n parc]-1,jan[n parc]))))</f>
        <v>0</v>
      </c>
      <c r="J6" s="19" t="s">
        <v>18</v>
      </c>
      <c r="K6" s="8"/>
      <c r="L6" s="20" t="s">
        <v>23</v>
      </c>
      <c r="M6" s="21">
        <f>IF(SUMIF(jan[pago em], "debito",jan[valor pago]) &gt; (M4-M10), -(SUMIF(jan[pago em], "debito",jan[valor pago]) - (M4-M10)), (M4-M10) - SUMIF(jan[pago em], "debito",jan[valor pago]))</f>
        <v>-747.27</v>
      </c>
    </row>
    <row r="7">
      <c r="A7" s="22" t="s">
        <v>24</v>
      </c>
      <c r="B7" s="24">
        <v>892.35</v>
      </c>
      <c r="C7" s="13">
        <v>892.35</v>
      </c>
      <c r="D7" s="25">
        <v>45657.0</v>
      </c>
      <c r="E7" s="36" t="str">
        <f>IF(jan[data]&lt;&gt;"",UPPER(TEXT(jan[data],"mmm")), "")</f>
        <v>DEZ.</v>
      </c>
      <c r="F7" s="38">
        <v>4.0</v>
      </c>
      <c r="G7" s="27">
        <v>1.0</v>
      </c>
      <c r="H7" s="28">
        <f>IF(jan[n parc] = 999, jan[valor] *1 - jan[valor pago] , jan[valor]*jan[n parc] - jan[valor pago])
</f>
        <v>0</v>
      </c>
      <c r="I7" s="18">
        <f>IF(jan[valor pago]="",jan[n parc], IF(jan[n parc]=999, 999, IF(AND(jan[n parc]=1,jan[total devido]=0),jan[n parc]-1, IF(AND(jan[n parc]&gt;1, OR(jan[total devido]&lt;&gt;0,jan[total devido]=0)),jan[n parc]-1,jan[n parc]))))</f>
        <v>0</v>
      </c>
      <c r="J7" s="29" t="s">
        <v>13</v>
      </c>
      <c r="K7" s="8"/>
      <c r="L7" s="31" t="s">
        <v>25</v>
      </c>
      <c r="M7" s="32">
        <f>SUM(jan[valor pago])-M8</f>
        <v>5524.26</v>
      </c>
    </row>
    <row r="8">
      <c r="A8" s="33" t="s">
        <v>26</v>
      </c>
      <c r="B8" s="39">
        <v>109.9</v>
      </c>
      <c r="C8" s="13">
        <v>109.9</v>
      </c>
      <c r="D8" s="14">
        <v>45658.0</v>
      </c>
      <c r="E8" s="34" t="str">
        <f>IF(jan[data]&lt;&gt;"",UPPER(TEXT(jan[data],"mmm")), "")</f>
        <v>JAN.</v>
      </c>
      <c r="F8" s="16">
        <v>4.0</v>
      </c>
      <c r="G8" s="16">
        <v>1.0</v>
      </c>
      <c r="H8" s="17">
        <f>IF(jan[n parc] = 999, jan[valor] *1 - jan[valor pago] , jan[valor]*jan[n parc] - jan[valor pago])
</f>
        <v>0</v>
      </c>
      <c r="I8" s="18">
        <f>IF(jan[valor pago]="",jan[n parc], IF(jan[n parc]=999, 999, IF(AND(jan[n parc]=1,jan[total devido]=0),jan[n parc]-1, IF(AND(jan[n parc]&gt;1, OR(jan[total devido]&lt;&gt;0,jan[total devido]=0)),jan[n parc]-1,jan[n parc]))))</f>
        <v>0</v>
      </c>
      <c r="J8" s="19" t="s">
        <v>18</v>
      </c>
      <c r="L8" s="40" t="s">
        <v>27</v>
      </c>
      <c r="M8" s="21">
        <f>SUMIF(jan[pago em], "cartao", jan[valor])</f>
        <v>631.32</v>
      </c>
    </row>
    <row r="9">
      <c r="A9" s="41" t="s">
        <v>28</v>
      </c>
      <c r="B9" s="42">
        <v>1000.0</v>
      </c>
      <c r="C9" s="13">
        <v>1000.0</v>
      </c>
      <c r="D9" s="25">
        <v>45666.0</v>
      </c>
      <c r="E9" s="36" t="str">
        <f>IF(jan[data]&lt;&gt;"",UPPER(TEXT(jan[data],"mmm")), "")</f>
        <v>JAN.</v>
      </c>
      <c r="F9" s="43">
        <v>9.0</v>
      </c>
      <c r="G9" s="43">
        <v>1.0</v>
      </c>
      <c r="H9" s="28">
        <f>IF(jan[n parc] = 999, jan[valor] *1 - jan[valor pago] , jan[valor]*jan[n parc] - jan[valor pago])
</f>
        <v>0</v>
      </c>
      <c r="I9" s="44">
        <f>IF(jan[valor pago]="",jan[n parc], IF(jan[n parc]=999, 999, IF(AND(jan[n parc]=1,jan[total devido]=0),jan[n parc]-1, IF(AND(jan[n parc]&gt;1, OR(jan[total devido]&lt;&gt;0,jan[total devido]=0)),jan[n parc]-1,jan[n parc]))))</f>
        <v>0</v>
      </c>
      <c r="J9" s="45" t="s">
        <v>13</v>
      </c>
      <c r="K9" s="8"/>
      <c r="L9" s="31" t="s">
        <v>29</v>
      </c>
      <c r="M9" s="32">
        <f>M4*10%</f>
        <v>547.807</v>
      </c>
    </row>
    <row r="10">
      <c r="A10" s="11" t="s">
        <v>30</v>
      </c>
      <c r="B10" s="39">
        <v>0.0</v>
      </c>
      <c r="C10" s="13">
        <v>0.0</v>
      </c>
      <c r="D10" s="14"/>
      <c r="E10" s="34" t="str">
        <f>IF(jan[data]&lt;&gt;"",UPPER(TEXT(jan[data],"mmm")), "")</f>
        <v/>
      </c>
      <c r="F10" s="35">
        <v>10.0</v>
      </c>
      <c r="G10" s="16">
        <v>4.0</v>
      </c>
      <c r="H10" s="17">
        <f>IF(jan[n parc] = 999, jan[valor] *1 - jan[valor pago] , jan[valor]*jan[n parc] - jan[valor pago])
</f>
        <v>0</v>
      </c>
      <c r="I10" s="18">
        <f>IF(jan[valor pago]="",jan[n parc], IF(jan[n parc]=999, 999, IF(AND(jan[n parc]=1,jan[total devido]=0),jan[n parc]-1, IF(AND(jan[n parc]&gt;1, OR(jan[total devido]&lt;&gt;0,jan[total devido]=0)),jan[n parc]-1,jan[n parc]))))</f>
        <v>3</v>
      </c>
      <c r="J10" s="19" t="s">
        <v>13</v>
      </c>
      <c r="K10" s="8"/>
      <c r="L10" s="20" t="s">
        <v>31</v>
      </c>
      <c r="M10" s="21">
        <f>SUMIF(contas[pago em], "investimento", contas[valor])</f>
        <v>701.08</v>
      </c>
    </row>
    <row r="11">
      <c r="A11" s="46" t="s">
        <v>32</v>
      </c>
      <c r="B11" s="47">
        <v>34.9</v>
      </c>
      <c r="C11" s="13">
        <v>34.9</v>
      </c>
      <c r="D11" s="25">
        <v>45670.0</v>
      </c>
      <c r="E11" s="36" t="str">
        <f>IF(jan[data]&lt;&gt;"",UPPER(TEXT(jan[data],"mmm")), "")</f>
        <v>JAN.</v>
      </c>
      <c r="F11" s="38">
        <v>10.0</v>
      </c>
      <c r="G11" s="27">
        <v>1.0</v>
      </c>
      <c r="H11" s="28">
        <f>IF(jan[n parc] = 999, jan[valor] *1 - jan[valor pago] , jan[valor]*jan[n parc] - jan[valor pago])
</f>
        <v>0</v>
      </c>
      <c r="I11" s="18">
        <f>IF(jan[valor pago]="",jan[n parc], IF(jan[n parc]=999, 999, IF(AND(jan[n parc]=1,jan[total devido]=0),jan[n parc]-1, IF(AND(jan[n parc]&gt;1, OR(jan[total devido]&lt;&gt;0,jan[total devido]=0)),jan[n parc]-1,jan[n parc]))))</f>
        <v>0</v>
      </c>
      <c r="J11" s="29" t="s">
        <v>13</v>
      </c>
      <c r="K11" s="8"/>
      <c r="L11" s="31" t="s">
        <v>33</v>
      </c>
      <c r="M11" s="48">
        <v>1900.0</v>
      </c>
    </row>
    <row r="12">
      <c r="A12" s="33" t="s">
        <v>34</v>
      </c>
      <c r="B12" s="12">
        <v>178.0</v>
      </c>
      <c r="C12" s="13">
        <v>181.81</v>
      </c>
      <c r="D12" s="14">
        <v>45672.0</v>
      </c>
      <c r="E12" s="34" t="str">
        <f>IF(jan[data]&lt;&gt;"",UPPER(TEXT(jan[data],"mmm")), "")</f>
        <v>JAN.</v>
      </c>
      <c r="F12" s="35">
        <v>10.0</v>
      </c>
      <c r="G12" s="16">
        <v>1.0</v>
      </c>
      <c r="H12" s="17">
        <f>IF(jan[n parc] = 999, jan[valor] *1 - jan[valor pago] , jan[valor]*jan[n parc] - jan[valor pago])
</f>
        <v>-3.81</v>
      </c>
      <c r="I12" s="18">
        <f>IF(jan[valor pago]="",jan[n parc], IF(jan[n parc]=999, 999, IF(AND(jan[n parc]=1,jan[total devido]=0),jan[n parc]-1, IF(AND(jan[n parc]&gt;1, OR(jan[total devido]&lt;&gt;0,jan[total devido]=0)),jan[n parc]-1,jan[n parc]))))</f>
        <v>1</v>
      </c>
      <c r="J12" s="19" t="s">
        <v>13</v>
      </c>
      <c r="K12" s="8"/>
      <c r="L12" s="49" t="s">
        <v>35</v>
      </c>
      <c r="M12" s="50">
        <v>600.0</v>
      </c>
    </row>
    <row r="13">
      <c r="A13" s="46" t="s">
        <v>36</v>
      </c>
      <c r="B13" s="24">
        <f>200</f>
        <v>200</v>
      </c>
      <c r="C13" s="24"/>
      <c r="D13" s="25"/>
      <c r="E13" s="36" t="str">
        <f>IF(jan[data]&lt;&gt;"",UPPER(TEXT(jan[data],"mmm")), "")</f>
        <v/>
      </c>
      <c r="F13" s="38">
        <v>13.0</v>
      </c>
      <c r="G13" s="27">
        <v>1.0</v>
      </c>
      <c r="H13" s="28">
        <f>IF(jan[n parc] = 999, jan[valor] *1 - jan[valor pago] , jan[valor]*jan[n parc] - jan[valor pago])
</f>
        <v>200</v>
      </c>
      <c r="I13" s="18">
        <f>IF(jan[valor pago]="",jan[n parc], IF(jan[n parc]=999, 999, IF(AND(jan[n parc]=1,jan[total devido]=0),jan[n parc]-1, IF(AND(jan[n parc]&gt;1, OR(jan[total devido]&lt;&gt;0,jan[total devido]=0)),jan[n parc]-1,jan[n parc]))))</f>
        <v>1</v>
      </c>
      <c r="J13" s="29" t="s">
        <v>37</v>
      </c>
      <c r="K13" s="8"/>
      <c r="L13" s="51" t="s">
        <v>38</v>
      </c>
      <c r="M13" s="52">
        <v>1000.0</v>
      </c>
    </row>
    <row r="14">
      <c r="A14" s="11" t="s">
        <v>39</v>
      </c>
      <c r="B14" s="12">
        <v>563.8</v>
      </c>
      <c r="C14" s="13">
        <v>563.8</v>
      </c>
      <c r="D14" s="14">
        <v>45672.0</v>
      </c>
      <c r="E14" s="34" t="str">
        <f>IF(jan[data]&lt;&gt;"",UPPER(TEXT(jan[data],"mmm")), "")</f>
        <v>JAN.</v>
      </c>
      <c r="F14" s="35">
        <v>15.0</v>
      </c>
      <c r="G14" s="16">
        <v>8.0</v>
      </c>
      <c r="H14" s="17">
        <f>IF(jan[n parc] = 999, jan[valor] *1 - jan[valor pago] , jan[valor]*jan[n parc] - jan[valor pago])
</f>
        <v>3946.6</v>
      </c>
      <c r="I14" s="18">
        <f>IF(jan[valor pago]="",jan[n parc], IF(jan[n parc]=999, 999, IF(AND(jan[n parc]=1,jan[total devido]=0),jan[n parc]-1, IF(AND(jan[n parc]&gt;1, OR(jan[total devido]&lt;&gt;0,jan[total devido]=0)),jan[n parc]-1,jan[n parc]))))</f>
        <v>7</v>
      </c>
      <c r="J14" s="19" t="s">
        <v>13</v>
      </c>
      <c r="K14" s="8"/>
    </row>
    <row r="15">
      <c r="A15" s="46" t="s">
        <v>40</v>
      </c>
      <c r="B15" s="47">
        <v>400.0</v>
      </c>
      <c r="C15" s="13">
        <v>400.0</v>
      </c>
      <c r="D15" s="25">
        <v>45672.0</v>
      </c>
      <c r="E15" s="36" t="str">
        <f>IF(jan[data]&lt;&gt;"",UPPER(TEXT(jan[data],"mmm")), "")</f>
        <v>JAN.</v>
      </c>
      <c r="F15" s="38">
        <v>15.0</v>
      </c>
      <c r="G15" s="27">
        <v>1.0</v>
      </c>
      <c r="H15" s="28">
        <f>IF(jan[n parc] = 999, jan[valor] *1 - jan[valor pago] , jan[valor]*jan[n parc] - jan[valor pago])
</f>
        <v>0</v>
      </c>
      <c r="I15" s="18">
        <f>IF(jan[valor pago]="",jan[n parc], IF(jan[n parc]=999, 999, IF(AND(jan[n parc]=1,jan[total devido]=0),jan[n parc]-1, IF(AND(jan[n parc]&gt;1, OR(jan[total devido]&lt;&gt;0,jan[total devido]=0)),jan[n parc]-1,jan[n parc]))))</f>
        <v>0</v>
      </c>
      <c r="J15" s="29" t="s">
        <v>18</v>
      </c>
      <c r="K15" s="8"/>
    </row>
    <row r="16">
      <c r="A16" s="11" t="s">
        <v>41</v>
      </c>
      <c r="B16" s="39">
        <v>202.59</v>
      </c>
      <c r="C16" s="13">
        <v>200.0</v>
      </c>
      <c r="D16" s="14">
        <v>45673.0</v>
      </c>
      <c r="E16" s="34" t="str">
        <f>IF(jan[data]&lt;&gt;"",UPPER(TEXT(jan[data],"mmm")), "")</f>
        <v>JAN.</v>
      </c>
      <c r="F16" s="16">
        <v>15.0</v>
      </c>
      <c r="G16" s="16">
        <v>12.0</v>
      </c>
      <c r="H16" s="17">
        <f>IF(jan[n parc] = 999, jan[valor] *1 - jan[valor pago] , jan[valor]*jan[n parc] - jan[valor pago])
</f>
        <v>2231.08</v>
      </c>
      <c r="I16" s="18">
        <f>IF(jan[valor pago]="",jan[n parc], IF(jan[n parc]=999, 999, IF(AND(jan[n parc]=1,jan[total devido]=0),jan[n parc]-1, IF(AND(jan[n parc]&gt;1, OR(jan[total devido]&lt;&gt;0,jan[total devido]=0)),jan[n parc]-1,jan[n parc]))))</f>
        <v>11</v>
      </c>
      <c r="J16" s="19" t="s">
        <v>13</v>
      </c>
    </row>
    <row r="17">
      <c r="A17" s="41" t="s">
        <v>42</v>
      </c>
      <c r="B17" s="42">
        <v>210.0</v>
      </c>
      <c r="C17" s="13">
        <v>210.0</v>
      </c>
      <c r="D17" s="25">
        <v>45673.0</v>
      </c>
      <c r="E17" s="36" t="str">
        <f>IF(jan[data]&lt;&gt;"",UPPER(TEXT(jan[data],"mmm")), "")</f>
        <v>JAN.</v>
      </c>
      <c r="F17" s="43">
        <v>16.0</v>
      </c>
      <c r="G17" s="43">
        <v>10.0</v>
      </c>
      <c r="H17" s="28">
        <f>IF(jan[n parc] = 999, jan[valor] *1 - jan[valor pago] , jan[valor]*jan[n parc] - jan[valor pago])
</f>
        <v>1890</v>
      </c>
      <c r="I17" s="18">
        <f>IF(jan[valor pago]="",jan[n parc], IF(jan[n parc]=999, 999, IF(AND(jan[n parc]=1,jan[total devido]=0),jan[n parc]-1, IF(AND(jan[n parc]&gt;1, OR(jan[total devido]&lt;&gt;0,jan[total devido]=0)),jan[n parc]-1,jan[n parc]))))</f>
        <v>9</v>
      </c>
      <c r="J17" s="45" t="s">
        <v>13</v>
      </c>
      <c r="K17" s="8"/>
    </row>
    <row r="18">
      <c r="A18" s="33" t="s">
        <v>43</v>
      </c>
      <c r="B18" s="39">
        <v>0.0</v>
      </c>
      <c r="C18" s="13">
        <v>0.0</v>
      </c>
      <c r="D18" s="14"/>
      <c r="E18" s="34" t="str">
        <f>IF(jan[data]&lt;&gt;"",UPPER(TEXT(jan[data],"mmm")), "")</f>
        <v/>
      </c>
      <c r="F18" s="35">
        <v>16.0</v>
      </c>
      <c r="G18" s="16">
        <v>1.0</v>
      </c>
      <c r="H18" s="17">
        <f>IF(jan[n parc] = 999, jan[valor] *1 - jan[valor pago] , jan[valor]*jan[n parc] - jan[valor pago])
</f>
        <v>0</v>
      </c>
      <c r="I18" s="18">
        <f>IF(jan[valor pago]="",jan[n parc], IF(jan[n parc]=999, 999, IF(AND(jan[n parc]=1,jan[total devido]=0),jan[n parc]-1, IF(AND(jan[n parc]&gt;1, OR(jan[total devido]&lt;&gt;0,jan[total devido]=0)),jan[n parc]-1,jan[n parc]))))</f>
        <v>0</v>
      </c>
      <c r="J18" s="19" t="s">
        <v>13</v>
      </c>
      <c r="K18" s="8"/>
    </row>
    <row r="19">
      <c r="A19" s="46" t="s">
        <v>44</v>
      </c>
      <c r="B19" s="47">
        <v>54.0</v>
      </c>
      <c r="C19" s="13">
        <v>54.0</v>
      </c>
      <c r="D19" s="25">
        <v>45672.0</v>
      </c>
      <c r="E19" s="36" t="str">
        <f>IF(jan[data]&lt;&gt;"",UPPER(TEXT(jan[data],"mmm")), "")</f>
        <v>JAN.</v>
      </c>
      <c r="F19" s="38">
        <v>22.0</v>
      </c>
      <c r="G19" s="27">
        <v>1.0</v>
      </c>
      <c r="H19" s="28">
        <f>IF(jan[n parc] = 999, jan[valor] *1 - jan[valor pago] , jan[valor]*jan[n parc] - jan[valor pago])
</f>
        <v>0</v>
      </c>
      <c r="I19" s="18">
        <f>IF(jan[valor pago]="",jan[n parc], IF(jan[n parc]=999, 999, IF(AND(jan[n parc]=1,jan[total devido]=0),jan[n parc]-1, IF(AND(jan[n parc]&gt;1, OR(jan[total devido]&lt;&gt;0,jan[total devido]=0)),jan[n parc]-1,jan[n parc]))))</f>
        <v>0</v>
      </c>
      <c r="J19" s="29" t="s">
        <v>13</v>
      </c>
      <c r="K19" s="8"/>
    </row>
    <row r="20">
      <c r="A20" s="33" t="s">
        <v>45</v>
      </c>
      <c r="B20" s="39">
        <v>65.24</v>
      </c>
      <c r="C20" s="13">
        <v>65.24</v>
      </c>
      <c r="D20" s="14">
        <v>45672.0</v>
      </c>
      <c r="E20" s="34" t="str">
        <f>IF(jan[data]&lt;&gt;"",UPPER(TEXT(jan[data],"mmm")), "")</f>
        <v>JAN.</v>
      </c>
      <c r="F20" s="35">
        <v>20.0</v>
      </c>
      <c r="G20" s="16">
        <v>1.0</v>
      </c>
      <c r="H20" s="17">
        <f>IF(jan[n parc] = 999, jan[valor] *1 - jan[valor pago] , jan[valor]*jan[n parc] - jan[valor pago])
</f>
        <v>0</v>
      </c>
      <c r="I20" s="18">
        <f>IF(jan[valor pago]="",jan[n parc], IF(jan[n parc]=999, 999, IF(AND(jan[n parc]=1,jan[total devido]=0),jan[n parc]-1, IF(AND(jan[n parc]&gt;1, OR(jan[total devido]&lt;&gt;0,jan[total devido]=0)),jan[n parc]-1,jan[n parc]))))</f>
        <v>0</v>
      </c>
      <c r="J20" s="19" t="s">
        <v>13</v>
      </c>
      <c r="K20" s="8"/>
    </row>
    <row r="21">
      <c r="A21" s="22" t="s">
        <v>46</v>
      </c>
      <c r="B21" s="24">
        <v>830.53</v>
      </c>
      <c r="C21" s="13">
        <v>830.53</v>
      </c>
      <c r="D21" s="25">
        <v>45672.0</v>
      </c>
      <c r="E21" s="36" t="str">
        <f>IF(jan[data]&lt;&gt;"",UPPER(TEXT(jan[data],"mmm")), "")</f>
        <v>JAN.</v>
      </c>
      <c r="F21" s="27">
        <v>20.0</v>
      </c>
      <c r="G21" s="27">
        <v>1.0</v>
      </c>
      <c r="H21" s="28">
        <f>IF(jan[n parc] = 999, jan[valor] *1 - jan[valor pago] , jan[valor]*jan[n parc] - jan[valor pago])
</f>
        <v>0</v>
      </c>
      <c r="I21" s="18">
        <f>IF(jan[valor pago]="",jan[n parc], IF(jan[n parc]=999, 999, IF(AND(jan[n parc]=1,jan[total devido]=0),jan[n parc]-1, IF(AND(jan[n parc]&gt;1, OR(jan[total devido]&lt;&gt;0,jan[total devido]=0)),jan[n parc]-1,jan[n parc]))))</f>
        <v>0</v>
      </c>
      <c r="J21" s="29" t="s">
        <v>13</v>
      </c>
      <c r="K21" s="8"/>
    </row>
    <row r="22">
      <c r="A22" s="33" t="s">
        <v>47</v>
      </c>
      <c r="B22" s="39">
        <v>616.99</v>
      </c>
      <c r="C22" s="39"/>
      <c r="D22" s="14"/>
      <c r="E22" s="34" t="str">
        <f>IF(jan[data]&lt;&gt;"",UPPER(TEXT(jan[data],"mmm")), "")</f>
        <v/>
      </c>
      <c r="F22" s="35">
        <v>25.0</v>
      </c>
      <c r="G22" s="16">
        <v>1.0</v>
      </c>
      <c r="H22" s="17">
        <f>IF(jan[n parc] = 999, jan[valor] *1 - jan[valor pago] , jan[valor]*jan[n parc] - jan[valor pago])
</f>
        <v>616.99</v>
      </c>
      <c r="I22" s="18">
        <f>IF(jan[valor pago]="",jan[n parc], IF(jan[n parc]=999, 999, IF(AND(jan[n parc]=1,jan[total devido]=0),jan[n parc]-1, IF(AND(jan[n parc]&gt;1, OR(jan[total devido]&lt;&gt;0,jan[total devido]=0)),jan[n parc]-1,jan[n parc]))))</f>
        <v>1</v>
      </c>
      <c r="J22" s="19" t="s">
        <v>37</v>
      </c>
    </row>
    <row r="23">
      <c r="A23" s="41" t="s">
        <v>48</v>
      </c>
      <c r="B23" s="42">
        <v>500.0</v>
      </c>
      <c r="C23" s="13">
        <v>500.0</v>
      </c>
      <c r="D23" s="25">
        <v>45672.0</v>
      </c>
      <c r="E23" s="36" t="str">
        <f>IF(jan[data]&lt;&gt;"",UPPER(TEXT(jan[data],"mmm")), "")</f>
        <v>JAN.</v>
      </c>
      <c r="G23" s="43">
        <v>1.0</v>
      </c>
      <c r="H23" s="28">
        <f>IF(jan[n parc] = 999, jan[valor] *1 - jan[valor pago] , jan[valor]*jan[n parc] - jan[valor pago])
</f>
        <v>0</v>
      </c>
      <c r="I23" s="18">
        <f>IF(jan[valor pago]="",jan[n parc], IF(jan[n parc]=999, 999, IF(AND(jan[n parc]=1,jan[total devido]=0),jan[n parc]-1, IF(AND(jan[n parc]&gt;1, OR(jan[total devido]&lt;&gt;0,jan[total devido]=0)),jan[n parc]-1,jan[n parc]))))</f>
        <v>0</v>
      </c>
      <c r="J23" s="45" t="s">
        <v>13</v>
      </c>
    </row>
    <row r="24">
      <c r="A24" s="53" t="s">
        <v>49</v>
      </c>
      <c r="B24" s="54">
        <v>337.53</v>
      </c>
      <c r="C24" s="55">
        <v>337.53</v>
      </c>
      <c r="D24" s="56">
        <v>45672.0</v>
      </c>
      <c r="E24" s="57" t="str">
        <f>IF(jan[data]&lt;&gt;"",UPPER(TEXT(jan[data],"mmm")), "")</f>
        <v>JAN.</v>
      </c>
      <c r="G24" s="58">
        <v>1.0</v>
      </c>
      <c r="H24" s="59">
        <f>IF(jan[n parc] = 999, jan[valor] *1 - jan[valor pago] , jan[valor]*jan[n parc] - jan[valor pago])
</f>
        <v>0</v>
      </c>
      <c r="I24" s="60">
        <f>IF(jan[valor pago]="",jan[n parc], IF(jan[n parc]=999, 999, IF(AND(jan[n parc]=1,jan[total devido]=0),jan[n parc]-1, IF(AND(jan[n parc]&gt;1, OR(jan[total devido]&lt;&gt;0,jan[total devido]=0)),jan[n parc]-1,jan[n parc]))))</f>
        <v>0</v>
      </c>
      <c r="J24" s="61" t="s">
        <v>13</v>
      </c>
    </row>
    <row r="25">
      <c r="B25" s="62"/>
      <c r="C25" s="63"/>
      <c r="D25" s="64"/>
      <c r="G25" s="65"/>
      <c r="H25" s="66"/>
    </row>
    <row r="26">
      <c r="C26" s="63"/>
      <c r="D26" s="64"/>
      <c r="G26" s="65"/>
      <c r="H26" s="66"/>
    </row>
    <row r="27">
      <c r="C27" s="63"/>
      <c r="D27" s="64"/>
      <c r="G27" s="65"/>
      <c r="H27" s="66"/>
    </row>
    <row r="28">
      <c r="C28" s="63"/>
      <c r="D28" s="64"/>
      <c r="G28" s="65"/>
      <c r="H28" s="66" t="str">
        <f t="shared" ref="H28:H35" si="1">IF(AND(NOT(ISBLANK(C28)), AND(F28 &gt; 1)), F28 - 1, F28)</f>
        <v/>
      </c>
    </row>
    <row r="29">
      <c r="C29" s="63"/>
      <c r="D29" s="64"/>
      <c r="G29" s="65"/>
      <c r="H29" s="66" t="str">
        <f t="shared" si="1"/>
        <v/>
      </c>
    </row>
    <row r="30">
      <c r="G30" s="65"/>
      <c r="H30" s="66" t="str">
        <f t="shared" si="1"/>
        <v/>
      </c>
    </row>
    <row r="31">
      <c r="G31" s="65"/>
      <c r="H31" s="66" t="str">
        <f t="shared" si="1"/>
        <v/>
      </c>
    </row>
    <row r="32">
      <c r="G32" s="65"/>
      <c r="H32" s="66" t="str">
        <f t="shared" si="1"/>
        <v/>
      </c>
    </row>
    <row r="33">
      <c r="G33" s="65"/>
      <c r="H33" s="66" t="str">
        <f t="shared" si="1"/>
        <v/>
      </c>
    </row>
    <row r="34">
      <c r="G34" s="65"/>
      <c r="H34" s="66" t="str">
        <f t="shared" si="1"/>
        <v/>
      </c>
    </row>
    <row r="35">
      <c r="G35" s="65"/>
      <c r="H35" s="66" t="str">
        <f t="shared" si="1"/>
        <v/>
      </c>
    </row>
    <row r="36">
      <c r="G36" s="65"/>
    </row>
  </sheetData>
  <conditionalFormatting sqref="C1:C29">
    <cfRule type="notContainsBlanks" dxfId="0" priority="1">
      <formula>LEN(TRIM(C1))&gt;0</formula>
    </cfRule>
  </conditionalFormatting>
  <dataValidations>
    <dataValidation type="custom" allowBlank="1" showDropDown="1" sqref="D2:D24">
      <formula1>OR(NOT(ISERROR(DATEVALUE(D2))), AND(ISNUMBER(D2), LEFT(CELL("format", D2))="D"))</formula1>
    </dataValidation>
    <dataValidation type="custom" allowBlank="1" showDropDown="1" sqref="M2:M13 B2:C24 H2:H24">
      <formula1>AND(ISNUMBER(B2),(NOT(OR(NOT(ISERROR(DATEVALUE(B2))), AND(ISNUMBER(B2), LEFT(CELL("format", B2))="D")))))</formula1>
    </dataValidation>
    <dataValidation type="list" allowBlank="1" sqref="J2:J24">
      <formula1>"debito,cartao,a pagar,pagamento,investimento"</formula1>
    </dataValidation>
  </dataValidation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7.13"/>
    <col customWidth="1" min="3" max="3" width="17.25"/>
    <col customWidth="1" min="5" max="5" width="12.88"/>
    <col customWidth="1" min="6" max="6" width="10.63"/>
    <col customWidth="1" min="7" max="7" width="19.38"/>
    <col customWidth="1" min="8" max="8" width="16.75"/>
    <col customWidth="1" min="9" max="9" width="15.88"/>
  </cols>
  <sheetData>
    <row r="1">
      <c r="A1" s="67" t="s">
        <v>0</v>
      </c>
      <c r="B1" s="6" t="s">
        <v>1</v>
      </c>
      <c r="C1" s="68" t="s">
        <v>2</v>
      </c>
      <c r="D1" s="69" t="s">
        <v>3</v>
      </c>
      <c r="E1" s="5" t="s">
        <v>4</v>
      </c>
      <c r="F1" s="6" t="s">
        <v>50</v>
      </c>
      <c r="G1" s="6" t="s">
        <v>6</v>
      </c>
      <c r="H1" s="6" t="s">
        <v>7</v>
      </c>
      <c r="I1" s="6" t="s">
        <v>8</v>
      </c>
      <c r="J1" s="7" t="s">
        <v>9</v>
      </c>
      <c r="K1" s="30"/>
      <c r="L1" s="9" t="s">
        <v>10</v>
      </c>
      <c r="M1" s="10" t="s">
        <v>11</v>
      </c>
    </row>
    <row r="2">
      <c r="A2" s="70" t="s">
        <v>15</v>
      </c>
      <c r="B2" s="71">
        <v>4200.0</v>
      </c>
      <c r="C2" s="72"/>
      <c r="D2" s="14">
        <v>45689.0</v>
      </c>
      <c r="E2" s="16" t="str">
        <f>IF(fev[data]&lt;&gt;"",UPPER(TEXT(fev[data],"mmm")), "")</f>
        <v>FEV.</v>
      </c>
      <c r="F2" s="73"/>
      <c r="G2" s="73">
        <v>999.0</v>
      </c>
      <c r="H2" s="73"/>
      <c r="I2" s="73"/>
      <c r="J2" s="74" t="s">
        <v>15</v>
      </c>
      <c r="K2" s="30"/>
      <c r="L2" s="20" t="s">
        <v>14</v>
      </c>
      <c r="M2" s="21">
        <f>SUM(fev[valor])</f>
        <v>8233.16</v>
      </c>
    </row>
    <row r="3">
      <c r="A3" s="22" t="s">
        <v>51</v>
      </c>
      <c r="B3" s="24">
        <v>312.85</v>
      </c>
      <c r="C3" s="75">
        <v>312.85</v>
      </c>
      <c r="D3" s="25">
        <v>45689.0</v>
      </c>
      <c r="E3" s="27" t="str">
        <f>IF(fev[data]&lt;&gt;"",UPPER(TEXT(fev[data],"mmm")), "")</f>
        <v>FEV.</v>
      </c>
      <c r="F3" s="27">
        <v>1.0</v>
      </c>
      <c r="G3" s="27">
        <v>6.0</v>
      </c>
      <c r="H3" s="76">
        <f>IF(fev[n parc] = 999, fev[valor] *1 - fev[valor pago] , fev[valor]*fev[n parc] - fev[valor pago])
</f>
        <v>1564.25</v>
      </c>
      <c r="I3" s="77">
        <f>IF(fev[valor pago]="",fev[n parc], IF(fev[n parc]=999, 999, IF(AND(fev[n parc]=1,fev[total devido]=0),fev[n parc]-1, IF(AND(fev[n parc]&gt;1, OR(fev[total devido]&lt;&gt;0,fev[total devido]=0)),fev[n parc]-1,fev[n parc]))))</f>
        <v>5</v>
      </c>
      <c r="J3" s="29" t="s">
        <v>13</v>
      </c>
      <c r="L3" s="31" t="s">
        <v>16</v>
      </c>
      <c r="M3" s="32">
        <f>M2-M7-M8</f>
        <v>6239.91</v>
      </c>
    </row>
    <row r="4">
      <c r="A4" s="11" t="s">
        <v>52</v>
      </c>
      <c r="B4" s="39">
        <v>338.94</v>
      </c>
      <c r="C4" s="75">
        <v>338.94</v>
      </c>
      <c r="D4" s="14">
        <v>45690.0</v>
      </c>
      <c r="E4" s="16" t="str">
        <f>IF(fev[data]&lt;&gt;"",UPPER(TEXT(fev[data],"mmm")), "")</f>
        <v>FEV.</v>
      </c>
      <c r="F4" s="16">
        <v>8.0</v>
      </c>
      <c r="G4" s="16">
        <v>14.0</v>
      </c>
      <c r="H4" s="78">
        <f>IF(fev[n parc] = 999, fev[valor] *1 - fev[valor pago] , fev[valor]*fev[n parc] - fev[valor pago])
</f>
        <v>4406.22</v>
      </c>
      <c r="I4" s="77">
        <f>IF(fev[valor pago]="",fev[n parc], IF(fev[n parc]=999, 999, IF(AND(fev[n parc]=1,fev[total devido]=0),fev[n parc]-1, IF(AND(fev[n parc]&gt;1, OR(fev[total devido]&lt;&gt;0,fev[total devido]=0)),fev[n parc]-1,fev[n parc]))))</f>
        <v>13</v>
      </c>
      <c r="J4" s="19" t="s">
        <v>13</v>
      </c>
      <c r="K4" s="30"/>
      <c r="L4" s="20" t="s">
        <v>19</v>
      </c>
      <c r="M4" s="21">
        <f>SUMIF(fev[pago em], "pagamento", fev[valor])</f>
        <v>4200</v>
      </c>
    </row>
    <row r="5">
      <c r="A5" s="41" t="s">
        <v>30</v>
      </c>
      <c r="B5" s="42">
        <v>297.76</v>
      </c>
      <c r="C5" s="75">
        <v>297.76</v>
      </c>
      <c r="D5" s="25">
        <v>45691.0</v>
      </c>
      <c r="E5" s="43" t="str">
        <f>IF(fev[data]&lt;&gt;"",UPPER(TEXT(fev[data],"mmm")), "")</f>
        <v>FEV.</v>
      </c>
      <c r="F5" s="43">
        <v>9.0</v>
      </c>
      <c r="G5" s="43">
        <v>4.0</v>
      </c>
      <c r="H5" s="76">
        <f>IF(fev[n parc] = 999, fev[valor] *1 - fev[valor pago] , fev[valor]*fev[n parc] - fev[valor pago])
</f>
        <v>893.28</v>
      </c>
      <c r="I5" s="44">
        <f>IF(fev[valor pago]="",fev[n parc], IF(fev[n parc]=999, 999, IF(AND(fev[n parc]=1,fev[total devido]=0),fev[n parc]-1, IF(AND(fev[n parc]&gt;1, OR(fev[total devido]&lt;&gt;0,fev[total devido]=0)),fev[n parc]-1,fev[n parc]))))</f>
        <v>3</v>
      </c>
      <c r="J5" s="45" t="s">
        <v>13</v>
      </c>
      <c r="K5" s="8"/>
      <c r="L5" s="31" t="s">
        <v>21</v>
      </c>
      <c r="M5" s="37">
        <f>SUM(fev[total devido])</f>
        <v>13402.66</v>
      </c>
    </row>
    <row r="6">
      <c r="A6" s="11" t="s">
        <v>53</v>
      </c>
      <c r="B6" s="39">
        <v>563.8</v>
      </c>
      <c r="C6" s="75">
        <v>563.8</v>
      </c>
      <c r="D6" s="14">
        <v>45692.0</v>
      </c>
      <c r="E6" s="16" t="str">
        <f>IF(fev[data]&lt;&gt;"",UPPER(TEXT(fev[data],"mmm")), "")</f>
        <v>FEV.</v>
      </c>
      <c r="F6" s="79">
        <v>14.0</v>
      </c>
      <c r="G6" s="16">
        <v>6.0</v>
      </c>
      <c r="H6" s="78">
        <f>IF(fev[n parc] = 999, fev[valor] *1 - fev[valor pago] , fev[valor]*fev[n parc] - fev[valor pago])
</f>
        <v>2819</v>
      </c>
      <c r="I6" s="77">
        <f>IF(fev[valor pago]="",fev[n parc], IF(fev[n parc]=999, 999, IF(AND(fev[n parc]=1,fev[total devido]=0),fev[n parc]-1, IF(AND(fev[n parc]&gt;1, OR(fev[total devido]&lt;&gt;0,fev[total devido]=0)),fev[n parc]-1,fev[n parc]))))</f>
        <v>5</v>
      </c>
      <c r="J6" s="19" t="s">
        <v>13</v>
      </c>
      <c r="K6" s="30"/>
      <c r="L6" s="20" t="s">
        <v>23</v>
      </c>
      <c r="M6" s="21">
        <f>IF(SUMIF(fev[pago em], "debito",fev[valor pago]) &gt; (M4-M10), -(SUMIF(fev[pago em], "debito",fev[valor pago]) - (M4-M10)), (M4-M10) - SUMIF(fev[pago em], "debito",fev[valor pago]))</f>
        <v>2416.75</v>
      </c>
    </row>
    <row r="7">
      <c r="A7" s="22" t="s">
        <v>54</v>
      </c>
      <c r="B7" s="24">
        <f>889.49+513.38+220.05</f>
        <v>1622.92</v>
      </c>
      <c r="C7" s="75">
        <v>200.0</v>
      </c>
      <c r="D7" s="25">
        <v>45693.0</v>
      </c>
      <c r="E7" s="27" t="str">
        <f>IF(fev[data]&lt;&gt;"",UPPER(TEXT(fev[data],"mmm")), "")</f>
        <v>FEV.</v>
      </c>
      <c r="F7" s="80">
        <v>14.0</v>
      </c>
      <c r="G7" s="27">
        <v>1.0</v>
      </c>
      <c r="H7" s="76">
        <f>IF(fev[n parc] = 999, fev[valor] *1 - fev[valor pago] , fev[valor]*fev[n parc] - fev[valor pago])
</f>
        <v>1422.92</v>
      </c>
      <c r="I7" s="77">
        <f>IF(fev[valor pago]="",fev[n parc], IF(fev[n parc]=999, 999, IF(AND(fev[n parc]=1,fev[total devido]=0),fev[n parc]-1, IF(AND(fev[n parc]&gt;1, OR(fev[total devido]&lt;&gt;0,fev[total devido]=0)),fev[n parc]-1,fev[n parc]))))</f>
        <v>1</v>
      </c>
      <c r="J7" s="29" t="s">
        <v>13</v>
      </c>
      <c r="K7" s="8"/>
      <c r="L7" s="31" t="s">
        <v>25</v>
      </c>
      <c r="M7" s="32">
        <f>SUM(fev[valor pago])-M8</f>
        <v>1783.25</v>
      </c>
    </row>
    <row r="8">
      <c r="A8" s="11" t="s">
        <v>55</v>
      </c>
      <c r="B8" s="39">
        <v>210.0</v>
      </c>
      <c r="C8" s="75">
        <v>210.0</v>
      </c>
      <c r="D8" s="14">
        <v>45694.0</v>
      </c>
      <c r="E8" s="16" t="str">
        <f>IF(fev[data]&lt;&gt;"",UPPER(TEXT(fev[data],"mmm")), "")</f>
        <v>FEV.</v>
      </c>
      <c r="F8" s="16">
        <v>15.0</v>
      </c>
      <c r="G8" s="16">
        <v>9.0</v>
      </c>
      <c r="H8" s="78">
        <f>IF(fev[n parc] = 999, fev[valor] *1 - fev[valor pago] , fev[valor]*fev[n parc] - fev[valor pago])
</f>
        <v>1680</v>
      </c>
      <c r="I8" s="77">
        <f>IF(fev[valor pago]="",fev[n parc], IF(fev[n parc]=999, 999, IF(AND(fev[n parc]=1,fev[total devido]=0),fev[n parc]-1, IF(AND(fev[n parc]&gt;1, OR(fev[total devido]&lt;&gt;0,fev[total devido]=0)),fev[n parc]-1,fev[n parc]))))</f>
        <v>8</v>
      </c>
      <c r="J8" s="19" t="s">
        <v>18</v>
      </c>
      <c r="K8" s="30"/>
      <c r="L8" s="40" t="s">
        <v>27</v>
      </c>
      <c r="M8" s="21">
        <f>SUMIF(fev[pago em], "cartao", fev[valor])</f>
        <v>210</v>
      </c>
    </row>
    <row r="9">
      <c r="A9" s="22" t="s">
        <v>45</v>
      </c>
      <c r="B9" s="24">
        <v>69.9</v>
      </c>
      <c r="C9" s="75">
        <v>69.9</v>
      </c>
      <c r="D9" s="25">
        <v>45695.0</v>
      </c>
      <c r="E9" s="27" t="str">
        <f>IF(fev[data]&lt;&gt;"",UPPER(TEXT(fev[data],"mmm")), "")</f>
        <v>FEV.</v>
      </c>
      <c r="F9" s="27">
        <v>19.0</v>
      </c>
      <c r="G9" s="27">
        <v>999.0</v>
      </c>
      <c r="H9" s="76">
        <f>IF(fev[n parc] = 999, fev[valor] *1 - fev[valor pago] , fev[valor]*fev[n parc] - fev[valor pago])
</f>
        <v>0</v>
      </c>
      <c r="I9" s="77">
        <f>IF(fev[valor pago]="",fev[n parc], IF(fev[n parc]=999, 999, IF(AND(fev[n parc]=1,fev[total devido]=0),fev[n parc]-1, IF(AND(fev[n parc]&gt;1, OR(fev[total devido]&lt;&gt;0,fev[total devido]=0)),fev[n parc]-1,fev[n parc]))))</f>
        <v>999</v>
      </c>
      <c r="J9" s="29" t="s">
        <v>13</v>
      </c>
      <c r="K9" s="8"/>
      <c r="L9" s="31" t="s">
        <v>29</v>
      </c>
      <c r="M9" s="32">
        <f>M4*10%</f>
        <v>420</v>
      </c>
    </row>
    <row r="10">
      <c r="A10" s="11" t="s">
        <v>47</v>
      </c>
      <c r="B10" s="39">
        <v>616.99</v>
      </c>
      <c r="C10" s="81"/>
      <c r="D10" s="14">
        <v>45696.0</v>
      </c>
      <c r="E10" s="79" t="str">
        <f>IF(fev[data]&lt;&gt;"",UPPER(TEXT(fev[data],"mmm")), "")</f>
        <v>FEV.</v>
      </c>
      <c r="F10" s="79">
        <v>24.0</v>
      </c>
      <c r="G10" s="16">
        <v>999.0</v>
      </c>
      <c r="H10" s="78">
        <f>IF(fev[n parc] = 999, fev[valor] *1 - fev[valor pago] , fev[valor]*fev[n parc] - fev[valor pago])
</f>
        <v>616.99</v>
      </c>
      <c r="I10" s="77">
        <f>IF(fev[valor pago]="",fev[n parc], IF(fev[n parc]=999, 999, IF(AND(fev[n parc]=1,fev[total devido]=0),fev[n parc]-1, IF(AND(fev[n parc]&gt;1, OR(fev[total devido]&lt;&gt;0,fev[total devido]=0)),fev[n parc]-1,fev[n parc]))))</f>
        <v>999</v>
      </c>
      <c r="J10" s="19" t="s">
        <v>37</v>
      </c>
      <c r="K10" s="8"/>
      <c r="L10" s="20" t="s">
        <v>31</v>
      </c>
      <c r="M10" s="21">
        <f>SUMIF(fev[pago em], "investimento", fev[valor])</f>
        <v>0</v>
      </c>
    </row>
    <row r="11">
      <c r="A11" s="22"/>
      <c r="B11" s="24"/>
      <c r="C11" s="82"/>
      <c r="D11" s="25">
        <v>45697.0</v>
      </c>
      <c r="E11" s="80" t="str">
        <f>IF(fev[data]&lt;&gt;"",UPPER(TEXT(fev[data],"mmm")), "")</f>
        <v>FEV.</v>
      </c>
      <c r="F11" s="80"/>
      <c r="G11" s="27"/>
      <c r="H11" s="76">
        <f>IF(fev[n parc] = 999, fev[valor] *1 - fev[valor pago] , fev[valor]*fev[n parc] - fev[valor pago])
</f>
        <v>0</v>
      </c>
      <c r="I11" s="77" t="str">
        <f>IF(fev[valor pago]="",fev[n parc], IF(fev[n parc]=999, 999, IF(AND(fev[n parc]=1,fev[total devido]=0),fev[n parc]-1, IF(AND(fev[n parc]&gt;1, OR(fev[total devido]&lt;&gt;0,fev[total devido]=0)),fev[n parc]-1,fev[n parc]))))</f>
        <v/>
      </c>
      <c r="J11" s="83"/>
      <c r="K11" s="8"/>
      <c r="L11" s="31" t="s">
        <v>33</v>
      </c>
      <c r="M11" s="48">
        <v>1900.0</v>
      </c>
    </row>
    <row r="12">
      <c r="A12" s="84"/>
      <c r="B12" s="85"/>
      <c r="C12" s="86"/>
      <c r="D12" s="56">
        <v>45698.0</v>
      </c>
      <c r="E12" s="87" t="str">
        <f>IF(fev[data]&lt;&gt;"",UPPER(TEXT(fev[data],"mmm")), "")</f>
        <v>FEV.</v>
      </c>
      <c r="F12" s="87"/>
      <c r="G12" s="88"/>
      <c r="H12" s="89">
        <f>IF(fev[n parc] = 999, fev[valor] *1 - fev[valor pago] , fev[valor]*fev[n parc] - fev[valor pago])
</f>
        <v>0</v>
      </c>
      <c r="I12" s="90" t="str">
        <f>IF(fev[valor pago]="",fev[n parc], IF(fev[n parc]=999, 999, IF(AND(fev[n parc]=1,fev[total devido]=0),fev[n parc]-1, IF(AND(fev[n parc]&gt;1, OR(fev[total devido]&lt;&gt;0,fev[total devido]=0)),fev[n parc]-1,fev[n parc]))))</f>
        <v/>
      </c>
      <c r="J12" s="91"/>
      <c r="L12" s="49" t="s">
        <v>35</v>
      </c>
      <c r="M12" s="21">
        <f>600+300</f>
        <v>900</v>
      </c>
    </row>
    <row r="13">
      <c r="B13" s="62"/>
      <c r="C13" s="63"/>
      <c r="D13" s="64"/>
      <c r="G13" s="92"/>
      <c r="H13" s="66"/>
      <c r="L13" s="51" t="s">
        <v>38</v>
      </c>
      <c r="M13" s="52">
        <v>1000.0</v>
      </c>
    </row>
    <row r="14">
      <c r="A14" s="93"/>
      <c r="B14" s="93"/>
      <c r="C14" s="63"/>
      <c r="D14" s="64"/>
      <c r="G14" s="92"/>
      <c r="H14" s="66"/>
      <c r="L14" s="94"/>
      <c r="M14" s="94"/>
    </row>
    <row r="15">
      <c r="C15" s="63"/>
      <c r="D15" s="64"/>
      <c r="G15" s="92"/>
      <c r="H15" s="66"/>
    </row>
    <row r="16">
      <c r="C16" s="63"/>
      <c r="D16" s="64"/>
      <c r="G16" s="92"/>
      <c r="H16" s="66"/>
    </row>
    <row r="17">
      <c r="C17" s="63"/>
      <c r="D17" s="64"/>
      <c r="G17" s="65"/>
      <c r="H17" s="66" t="str">
        <f t="shared" ref="H17:H18" si="1">IF(AND(NOT(ISBLANK(C17)), AND(F17 &gt; 1)), F17 - 1, F17)</f>
        <v/>
      </c>
    </row>
    <row r="18">
      <c r="D18" s="64"/>
      <c r="G18" s="65"/>
      <c r="H18" s="66" t="str">
        <f t="shared" si="1"/>
        <v/>
      </c>
    </row>
    <row r="19">
      <c r="D19" s="64"/>
    </row>
    <row r="20">
      <c r="D20" s="64"/>
    </row>
    <row r="21">
      <c r="D21" s="64"/>
    </row>
    <row r="22">
      <c r="D22" s="64"/>
    </row>
    <row r="23">
      <c r="D23" s="64"/>
    </row>
    <row r="24">
      <c r="D24" s="64"/>
    </row>
    <row r="25">
      <c r="D25" s="64"/>
    </row>
  </sheetData>
  <conditionalFormatting sqref="C1:C17">
    <cfRule type="notContainsBlanks" dxfId="0" priority="1">
      <formula>LEN(TRIM(C1))&gt;0</formula>
    </cfRule>
  </conditionalFormatting>
  <dataValidations>
    <dataValidation type="list" allowBlank="1" sqref="J2:J12">
      <formula1>"debito,cartao,a pagar,pagamento,investimento"</formula1>
    </dataValidation>
    <dataValidation type="custom" allowBlank="1" showDropDown="1" sqref="D2:D12">
      <formula1>OR(NOT(ISERROR(DATEVALUE(D2))), AND(ISNUMBER(D2), LEFT(CELL("format", D2))="D"))</formula1>
    </dataValidation>
    <dataValidation type="custom" allowBlank="1" showDropDown="1" sqref="B2:C12 M2:M13">
      <formula1>AND(ISNUMBER(B2),(NOT(OR(NOT(ISERROR(DATEVALUE(B2))), AND(ISNUMBER(B2), LEFT(CELL("format", B2))="D")))))</formula1>
    </dataValidation>
  </dataValidations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7.13"/>
    <col customWidth="1" min="2" max="2" width="14.0"/>
    <col customWidth="1" min="3" max="3" width="18.0"/>
    <col customWidth="1" min="4" max="4" width="12.38"/>
    <col customWidth="1" min="5" max="5" width="12.88"/>
    <col customWidth="1" min="6" max="6" width="11.0"/>
    <col customWidth="1" min="7" max="7" width="19.0"/>
    <col customWidth="1" min="8" max="8" width="13.63"/>
    <col customWidth="1" min="9" max="9" width="16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7" t="s">
        <v>9</v>
      </c>
      <c r="L1" s="9" t="s">
        <v>10</v>
      </c>
      <c r="M1" s="10" t="s">
        <v>11</v>
      </c>
    </row>
    <row r="2">
      <c r="A2" s="11" t="s">
        <v>15</v>
      </c>
      <c r="B2" s="12">
        <f>1420.37+2982</f>
        <v>4402.37</v>
      </c>
      <c r="C2" s="39"/>
      <c r="D2" s="14">
        <v>45689.0</v>
      </c>
      <c r="E2" s="15" t="str">
        <f>IF(mar[data]&lt;&gt;"",UPPER(TEXT(mar[data],"mmm")), "")</f>
        <v>FEV.</v>
      </c>
      <c r="F2" s="16"/>
      <c r="G2" s="16"/>
      <c r="H2" s="95">
        <f>IF(mar[n parc] = 999, mar[valor] *1 - mar[valor pago] , mar[valor]*mar[n parc] - mar[valor pago])
</f>
        <v>0</v>
      </c>
      <c r="I2" s="96" t="str">
        <f>IF(mar[valor pago]="",mar[n parc], IF(mar[n parc]=999, 999, IF(AND(mar[n parc]=1,mar[total devido]=0),mar[n parc]-1, IF(AND(mar[n parc]&gt;1, OR(mar[total devido]&lt;&gt;0,mar[total devido]=0)),mar[n parc]-1,mar[n parc]))))</f>
        <v/>
      </c>
      <c r="J2" s="19" t="s">
        <v>15</v>
      </c>
      <c r="L2" s="20" t="s">
        <v>14</v>
      </c>
      <c r="M2" s="21">
        <f>SUM(mar[valor])</f>
        <v>11935.35</v>
      </c>
    </row>
    <row r="3">
      <c r="A3" s="22" t="s">
        <v>56</v>
      </c>
      <c r="B3" s="47">
        <v>312.85</v>
      </c>
      <c r="C3" s="13">
        <v>312.85</v>
      </c>
      <c r="D3" s="25">
        <v>45717.0</v>
      </c>
      <c r="E3" s="26" t="str">
        <f>IF(mar[data]&lt;&gt;"",UPPER(TEXT(mar[data],"mmm")), "")</f>
        <v>MAR.</v>
      </c>
      <c r="F3" s="27">
        <v>1.0</v>
      </c>
      <c r="G3" s="27">
        <v>6.0</v>
      </c>
      <c r="H3" s="97">
        <f>IF(mar[n parc] = 999, mar[valor] *1 - mar[valor pago] , mar[valor]*mar[n parc] - mar[valor pago])
</f>
        <v>1564.25</v>
      </c>
      <c r="I3" s="43">
        <f>IF(mar[valor pago]="",mar[n parc], IF(mar[n parc]=999, 999, IF(AND(mar[n parc]=1,mar[total devido]=0),mar[n parc]-1, IF(AND(mar[n parc]&gt;1, OR(mar[total devido]&lt;&gt;0,mar[total devido]=0)),mar[n parc]-1,mar[n parc]))))</f>
        <v>5</v>
      </c>
      <c r="J3" s="29" t="s">
        <v>18</v>
      </c>
      <c r="L3" s="31" t="s">
        <v>16</v>
      </c>
      <c r="M3" s="32">
        <f>M2-M7-M8</f>
        <v>6230</v>
      </c>
    </row>
    <row r="4">
      <c r="A4" s="98" t="s">
        <v>57</v>
      </c>
      <c r="B4" s="99">
        <v>910.76</v>
      </c>
      <c r="C4" s="13">
        <v>910.76</v>
      </c>
      <c r="D4" s="14">
        <v>45716.0</v>
      </c>
      <c r="E4" s="96" t="str">
        <f>IF(mar[data]&lt;&gt;"",UPPER(TEXT(mar[data],"mmm")), "")</f>
        <v>FEV.</v>
      </c>
      <c r="F4" s="96">
        <v>1.0</v>
      </c>
      <c r="G4" s="96">
        <v>999.0</v>
      </c>
      <c r="H4" s="95">
        <f>IF(mar[n parc] = 999, mar[valor] *1 - mar[valor pago] , mar[valor]*mar[n parc] - mar[valor pago])
</f>
        <v>0</v>
      </c>
      <c r="I4" s="96">
        <f>IF(mar[valor pago]="",mar[n parc], IF(mar[n parc]=999, 999, IF(AND(mar[n parc]=1,mar[total devido]=0),mar[n parc]-1, IF(AND(mar[n parc]&gt;1, OR(mar[total devido]&lt;&gt;0,mar[total devido]=0)),mar[n parc]-1,mar[n parc]))))</f>
        <v>999</v>
      </c>
      <c r="J4" s="100" t="s">
        <v>13</v>
      </c>
      <c r="L4" s="20" t="s">
        <v>19</v>
      </c>
      <c r="M4" s="21">
        <f>SUMIF(mar[pago em], "pagamento", mar[valor])</f>
        <v>4402.37</v>
      </c>
    </row>
    <row r="5">
      <c r="A5" s="46" t="s">
        <v>17</v>
      </c>
      <c r="B5" s="47">
        <v>76.52</v>
      </c>
      <c r="C5" s="13">
        <v>76.52</v>
      </c>
      <c r="D5" s="25">
        <v>45687.0</v>
      </c>
      <c r="E5" s="38" t="str">
        <f>IF(mar[data]&lt;&gt;"",UPPER(TEXT(mar[data],"mmm")), "")</f>
        <v>JAN.</v>
      </c>
      <c r="F5" s="38">
        <v>1.0</v>
      </c>
      <c r="G5" s="27">
        <v>999.0</v>
      </c>
      <c r="H5" s="97">
        <f>IF(mar[n parc] = 999, mar[valor] *1 - mar[valor pago] , mar[valor]*mar[n parc] - mar[valor pago])
</f>
        <v>0</v>
      </c>
      <c r="I5" s="43">
        <f>IF(mar[valor pago]="",mar[n parc], IF(mar[n parc]=999, 999, IF(AND(mar[n parc]=1,mar[total devido]=0),mar[n parc]-1, IF(AND(mar[n parc]&gt;1, OR(mar[total devido]&lt;&gt;0,mar[total devido]=0)),mar[n parc]-1,mar[n parc]))))</f>
        <v>999</v>
      </c>
      <c r="J5" s="29" t="s">
        <v>18</v>
      </c>
      <c r="L5" s="31" t="s">
        <v>21</v>
      </c>
      <c r="M5" s="37">
        <f>SUM(mar[total devido])</f>
        <v>19987.68</v>
      </c>
    </row>
    <row r="6">
      <c r="A6" s="11" t="s">
        <v>24</v>
      </c>
      <c r="B6" s="39">
        <f>830.51</f>
        <v>830.51</v>
      </c>
      <c r="C6" s="13">
        <v>830.51</v>
      </c>
      <c r="D6" s="14">
        <v>45717.0</v>
      </c>
      <c r="E6" s="35" t="str">
        <f>IF(mar[data]&lt;&gt;"",UPPER(TEXT(mar[data],"mmm")), "")</f>
        <v>MAR.</v>
      </c>
      <c r="F6" s="35">
        <v>4.0</v>
      </c>
      <c r="G6" s="16">
        <v>999.0</v>
      </c>
      <c r="H6" s="95">
        <f>IF(mar[n parc] = 999, mar[valor] *1 - mar[valor pago] , mar[valor]*mar[n parc] - mar[valor pago])
</f>
        <v>0</v>
      </c>
      <c r="I6" s="96">
        <f>IF(mar[valor pago]="",mar[n parc], IF(mar[n parc]=999, 999, IF(AND(mar[n parc]=1,mar[total devido]=0),mar[n parc]-1, IF(AND(mar[n parc]&gt;1, OR(mar[total devido]&lt;&gt;0,mar[total devido]=0)),mar[n parc]-1,mar[n parc]))))</f>
        <v>999</v>
      </c>
      <c r="J6" s="19" t="s">
        <v>13</v>
      </c>
      <c r="L6" s="20" t="s">
        <v>23</v>
      </c>
      <c r="M6" s="21">
        <f>IF(SUMIF(mar[pago em], "debito",mar[valor pago]) &gt; (M4-M10), -(SUMIF(mar[pago em], "debito",mar[valor pago]) - (M4-M10)), (M4-M10) - SUMIF(mar[pago em], "debito",mar[valor pago]))</f>
        <v>-579.23</v>
      </c>
    </row>
    <row r="7">
      <c r="A7" s="46" t="s">
        <v>26</v>
      </c>
      <c r="B7" s="24">
        <v>0.0</v>
      </c>
      <c r="C7" s="13">
        <v>0.0</v>
      </c>
      <c r="D7" s="25"/>
      <c r="E7" s="27" t="str">
        <f>IF(mar[data]&lt;&gt;"",UPPER(TEXT(mar[data],"mmm")), "")</f>
        <v/>
      </c>
      <c r="F7" s="27">
        <v>4.0</v>
      </c>
      <c r="G7" s="27">
        <v>1.0</v>
      </c>
      <c r="H7" s="97">
        <f>IF(mar[n parc] = 999, mar[valor] *1 - mar[valor pago] , mar[valor]*mar[n parc] - mar[valor pago])
</f>
        <v>0</v>
      </c>
      <c r="I7" s="43">
        <f>IF(mar[valor pago]="",mar[n parc], IF(mar[n parc]=999, 999, IF(AND(mar[n parc]=1,mar[total devido]=0),mar[n parc]-1, IF(AND(mar[n parc]&gt;1, OR(mar[total devido]&lt;&gt;0,mar[total devido]=0)),mar[n parc]-1,mar[n parc]))))</f>
        <v>0</v>
      </c>
      <c r="J7" s="29" t="s">
        <v>58</v>
      </c>
      <c r="L7" s="31" t="s">
        <v>25</v>
      </c>
      <c r="M7" s="32">
        <f>SUM(mar[valor pago])-M8</f>
        <v>4535.22</v>
      </c>
    </row>
    <row r="8">
      <c r="A8" s="98" t="s">
        <v>59</v>
      </c>
      <c r="B8" s="99">
        <v>622.48</v>
      </c>
      <c r="C8" s="13">
        <v>622.48</v>
      </c>
      <c r="D8" s="14">
        <v>45730.0</v>
      </c>
      <c r="E8" s="96" t="str">
        <f>IF(mar[data]&lt;&gt;"",UPPER(TEXT(mar[data],"mmm")), "")</f>
        <v>MAR.</v>
      </c>
      <c r="F8" s="96">
        <v>9.0</v>
      </c>
      <c r="G8" s="96">
        <v>1.0</v>
      </c>
      <c r="H8" s="95">
        <f>IF(mar[n parc] = 999, mar[valor] *1 - mar[valor pago] , mar[valor]*mar[n parc] - mar[valor pago])
</f>
        <v>0</v>
      </c>
      <c r="I8" s="96">
        <f>IF(mar[valor pago]="",mar[n parc], IF(mar[n parc]=999, 999, IF(AND(mar[n parc]=1,mar[total devido]=0),mar[n parc]-1, IF(AND(mar[n parc]&gt;1, OR(mar[total devido]&lt;&gt;0,mar[total devido]=0)),mar[n parc]-1,mar[n parc]))))</f>
        <v>0</v>
      </c>
      <c r="J8" s="100" t="s">
        <v>13</v>
      </c>
      <c r="L8" s="40" t="s">
        <v>27</v>
      </c>
      <c r="M8" s="21">
        <f>SUMIF(mar[pago em], "cartao", mar[valor])</f>
        <v>1170.13</v>
      </c>
    </row>
    <row r="9">
      <c r="A9" s="22" t="s">
        <v>52</v>
      </c>
      <c r="B9" s="24">
        <v>338.94</v>
      </c>
      <c r="C9" s="24"/>
      <c r="D9" s="25"/>
      <c r="E9" s="27" t="str">
        <f>IF(mar[data]&lt;&gt;"",UPPER(TEXT(mar[data],"mmm")), "")</f>
        <v/>
      </c>
      <c r="F9" s="27">
        <v>9.0</v>
      </c>
      <c r="G9" s="27">
        <v>14.0</v>
      </c>
      <c r="H9" s="97">
        <f>IF(mar[n parc] = 999, mar[valor] *1 - mar[valor pago] , mar[valor]*mar[n parc] - mar[valor pago])
</f>
        <v>4745.16</v>
      </c>
      <c r="I9" s="43">
        <f>IF(mar[valor pago]="",mar[n parc], IF(mar[n parc]=999, 999, IF(AND(mar[n parc]=1,mar[total devido]=0),mar[n parc]-1, IF(AND(mar[n parc]&gt;1, OR(mar[total devido]&lt;&gt;0,mar[total devido]=0)),mar[n parc]-1,mar[n parc]))))</f>
        <v>14</v>
      </c>
      <c r="J9" s="29" t="s">
        <v>58</v>
      </c>
      <c r="L9" s="31" t="s">
        <v>29</v>
      </c>
      <c r="M9" s="32">
        <f>M4*10%</f>
        <v>440.237</v>
      </c>
    </row>
    <row r="10">
      <c r="A10" s="11" t="s">
        <v>30</v>
      </c>
      <c r="B10" s="12">
        <v>297.76</v>
      </c>
      <c r="C10" s="13">
        <v>297.76</v>
      </c>
      <c r="D10" s="14">
        <v>45717.0</v>
      </c>
      <c r="E10" s="35" t="str">
        <f>IF(mar[data]&lt;&gt;"",UPPER(TEXT(mar[data],"mmm")), "")</f>
        <v>MAR.</v>
      </c>
      <c r="F10" s="35">
        <v>10.0</v>
      </c>
      <c r="G10" s="16">
        <v>4.0</v>
      </c>
      <c r="H10" s="95">
        <f>IF(mar[n parc] = 999, mar[valor] *1 - mar[valor pago] , mar[valor]*mar[n parc] - mar[valor pago])
</f>
        <v>893.28</v>
      </c>
      <c r="I10" s="96">
        <f>IF(mar[valor pago]="",mar[n parc], IF(mar[n parc]=999, 999, IF(AND(mar[n parc]=1,mar[total devido]=0),mar[n parc]-1, IF(AND(mar[n parc]&gt;1, OR(mar[total devido]&lt;&gt;0,mar[total devido]=0)),mar[n parc]-1,mar[n parc]))))</f>
        <v>3</v>
      </c>
      <c r="J10" s="19" t="s">
        <v>18</v>
      </c>
      <c r="L10" s="20" t="s">
        <v>31</v>
      </c>
      <c r="M10" s="21">
        <f>SUMIF(contas[pago em], "investimento", contas[valor])</f>
        <v>701.08</v>
      </c>
    </row>
    <row r="11">
      <c r="A11" s="46" t="s">
        <v>22</v>
      </c>
      <c r="B11" s="47">
        <v>44.9</v>
      </c>
      <c r="C11" s="13">
        <v>44.9</v>
      </c>
      <c r="D11" s="25">
        <v>45717.0</v>
      </c>
      <c r="E11" s="38" t="str">
        <f>IF(mar[data]&lt;&gt;"",UPPER(TEXT(mar[data],"mmm")), "")</f>
        <v>MAR.</v>
      </c>
      <c r="F11" s="38">
        <v>10.0</v>
      </c>
      <c r="G11" s="27">
        <v>999.0</v>
      </c>
      <c r="H11" s="97">
        <f>IF(mar[n parc] = 999, mar[valor] *1 - mar[valor pago] , mar[valor]*mar[n parc] - mar[valor pago])
</f>
        <v>0</v>
      </c>
      <c r="I11" s="43">
        <f>IF(mar[valor pago]="",mar[n parc], IF(mar[n parc]=999, 999, IF(AND(mar[n parc]=1,mar[total devido]=0),mar[n parc]-1, IF(AND(mar[n parc]&gt;1, OR(mar[total devido]&lt;&gt;0,mar[total devido]=0)),mar[n parc]-1,mar[n parc]))))</f>
        <v>999</v>
      </c>
      <c r="J11" s="29" t="s">
        <v>60</v>
      </c>
      <c r="L11" s="31" t="s">
        <v>33</v>
      </c>
      <c r="M11" s="48">
        <v>1900.0</v>
      </c>
    </row>
    <row r="12">
      <c r="A12" s="33" t="s">
        <v>32</v>
      </c>
      <c r="B12" s="12">
        <v>34.9</v>
      </c>
      <c r="C12" s="13">
        <v>34.9</v>
      </c>
      <c r="D12" s="14">
        <v>45726.0</v>
      </c>
      <c r="E12" s="35" t="str">
        <f>IF(mar[data]&lt;&gt;"",UPPER(TEXT(mar[data],"mmm")), "")</f>
        <v>MAR.</v>
      </c>
      <c r="F12" s="35">
        <v>10.0</v>
      </c>
      <c r="G12" s="16">
        <v>999.0</v>
      </c>
      <c r="H12" s="95">
        <f>IF(mar[n parc] = 999, mar[valor] *1 - mar[valor pago] , mar[valor]*mar[n parc] - mar[valor pago])
</f>
        <v>0</v>
      </c>
      <c r="I12" s="96">
        <f>IF(mar[valor pago]="",mar[n parc], IF(mar[n parc]=999, 999, IF(AND(mar[n parc]=1,mar[total devido]=0),mar[n parc]-1, IF(AND(mar[n parc]&gt;1, OR(mar[total devido]&lt;&gt;0,mar[total devido]=0)),mar[n parc]-1,mar[n parc]))))</f>
        <v>999</v>
      </c>
      <c r="J12" s="19" t="s">
        <v>60</v>
      </c>
      <c r="L12" s="49" t="s">
        <v>35</v>
      </c>
      <c r="M12" s="21">
        <f>600+300</f>
        <v>900</v>
      </c>
    </row>
    <row r="13">
      <c r="A13" s="46" t="s">
        <v>34</v>
      </c>
      <c r="B13" s="47">
        <v>178.0</v>
      </c>
      <c r="C13" s="13">
        <v>178.0</v>
      </c>
      <c r="D13" s="25">
        <v>45730.0</v>
      </c>
      <c r="E13" s="38" t="str">
        <f>IF(mar[data]&lt;&gt;"",UPPER(TEXT(mar[data],"mmm")), "")</f>
        <v>MAR.</v>
      </c>
      <c r="F13" s="38">
        <v>10.0</v>
      </c>
      <c r="G13" s="27">
        <v>999.0</v>
      </c>
      <c r="H13" s="97">
        <f>IF(mar[n parc] = 999, mar[valor] *1 - mar[valor pago] , mar[valor]*mar[n parc] - mar[valor pago])
</f>
        <v>0</v>
      </c>
      <c r="I13" s="43">
        <f>IF(mar[valor pago]="",mar[n parc], IF(mar[n parc]=999, 999, IF(AND(mar[n parc]=1,mar[total devido]=0),mar[n parc]-1, IF(AND(mar[n parc]&gt;1, OR(mar[total devido]&lt;&gt;0,mar[total devido]=0)),mar[n parc]-1,mar[n parc]))))</f>
        <v>999</v>
      </c>
      <c r="J13" s="29" t="s">
        <v>58</v>
      </c>
      <c r="L13" s="51" t="s">
        <v>38</v>
      </c>
      <c r="M13" s="52">
        <v>1000.0</v>
      </c>
    </row>
    <row r="14">
      <c r="A14" s="98" t="s">
        <v>59</v>
      </c>
      <c r="B14" s="99">
        <v>220.05</v>
      </c>
      <c r="C14" s="13">
        <v>220.05</v>
      </c>
      <c r="D14" s="14">
        <v>45730.0</v>
      </c>
      <c r="E14" s="96" t="str">
        <f>IF(mar[data]&lt;&gt;"",UPPER(TEXT(mar[data],"mmm")), "")</f>
        <v>MAR.</v>
      </c>
      <c r="F14" s="96">
        <v>12.0</v>
      </c>
      <c r="G14" s="96">
        <v>4.0</v>
      </c>
      <c r="H14" s="95">
        <f>IF(mar[n parc] = 999, mar[valor] *1 - mar[valor pago] , mar[valor]*mar[n parc] - mar[valor pago])
</f>
        <v>660.15</v>
      </c>
      <c r="I14" s="96">
        <f>IF(mar[valor pago]="",mar[n parc], IF(mar[n parc]=999, 999, IF(AND(mar[n parc]=1,mar[total devido]=0),mar[n parc]-1, IF(AND(mar[n parc]&gt;1, OR(mar[total devido]&lt;&gt;0,mar[total devido]=0)),mar[n parc]-1,mar[n parc]))))</f>
        <v>3</v>
      </c>
      <c r="J14" s="100" t="s">
        <v>13</v>
      </c>
    </row>
    <row r="15">
      <c r="A15" s="46" t="s">
        <v>36</v>
      </c>
      <c r="B15" s="24">
        <v>0.0</v>
      </c>
      <c r="C15" s="24"/>
      <c r="D15" s="25"/>
      <c r="E15" s="38" t="str">
        <f>IF(mar[data]&lt;&gt;"",UPPER(TEXT(mar[data],"mmm")), "")</f>
        <v/>
      </c>
      <c r="F15" s="38">
        <v>13.0</v>
      </c>
      <c r="G15" s="27">
        <v>999.0</v>
      </c>
      <c r="H15" s="97">
        <f>IF(mar[n parc] = 999, mar[valor] *1 - mar[valor pago] , mar[valor]*mar[n parc] - mar[valor pago])
</f>
        <v>0</v>
      </c>
      <c r="I15" s="43">
        <f>IF(mar[valor pago]="",mar[n parc], IF(mar[n parc]=999, 999, IF(AND(mar[n parc]=1,mar[total devido]=0),mar[n parc]-1, IF(AND(mar[n parc]&gt;1, OR(mar[total devido]&lt;&gt;0,mar[total devido]=0)),mar[n parc]-1,mar[n parc]))))</f>
        <v>999</v>
      </c>
      <c r="J15" s="29" t="s">
        <v>58</v>
      </c>
    </row>
    <row r="16">
      <c r="A16" s="11" t="s">
        <v>53</v>
      </c>
      <c r="B16" s="12">
        <v>563.8</v>
      </c>
      <c r="C16" s="39"/>
      <c r="D16" s="14"/>
      <c r="E16" s="35" t="str">
        <f>IF(mar[data]&lt;&gt;"",UPPER(TEXT(mar[data],"mmm")), "")</f>
        <v/>
      </c>
      <c r="F16" s="35">
        <v>15.0</v>
      </c>
      <c r="G16" s="16">
        <v>6.0</v>
      </c>
      <c r="H16" s="95">
        <f>IF(mar[n parc] = 999, mar[valor] *1 - mar[valor pago] , mar[valor]*mar[n parc] - mar[valor pago])
</f>
        <v>3382.8</v>
      </c>
      <c r="I16" s="96">
        <f>IF(mar[valor pago]="",mar[n parc], IF(mar[n parc]=999, 999, IF(AND(mar[n parc]=1,mar[total devido]=0),mar[n parc]-1, IF(AND(mar[n parc]&gt;1, OR(mar[total devido]&lt;&gt;0,mar[total devido]=0)),mar[n parc]-1,mar[n parc]))))</f>
        <v>6</v>
      </c>
      <c r="J16" s="19" t="s">
        <v>58</v>
      </c>
    </row>
    <row r="17">
      <c r="A17" s="46" t="s">
        <v>40</v>
      </c>
      <c r="B17" s="24">
        <v>0.0</v>
      </c>
      <c r="C17" s="24"/>
      <c r="D17" s="25"/>
      <c r="E17" s="38" t="str">
        <f>IF(mar[data]&lt;&gt;"",UPPER(TEXT(mar[data],"mmm")), "")</f>
        <v/>
      </c>
      <c r="F17" s="38">
        <v>15.0</v>
      </c>
      <c r="G17" s="27">
        <v>999.0</v>
      </c>
      <c r="H17" s="97">
        <f>IF(mar[n parc] = 999, mar[valor] *1 - mar[valor pago] , mar[valor]*mar[n parc] - mar[valor pago])
</f>
        <v>0</v>
      </c>
      <c r="I17" s="43">
        <f>IF(mar[valor pago]="",mar[n parc], IF(mar[n parc]=999, 999, IF(AND(mar[n parc]=1,mar[total devido]=0),mar[n parc]-1, IF(AND(mar[n parc]&gt;1, OR(mar[total devido]&lt;&gt;0,mar[total devido]=0)),mar[n parc]-1,mar[n parc]))))</f>
        <v>999</v>
      </c>
      <c r="J17" s="29" t="s">
        <v>58</v>
      </c>
    </row>
    <row r="18">
      <c r="A18" s="11" t="s">
        <v>61</v>
      </c>
      <c r="B18" s="39">
        <v>203.1</v>
      </c>
      <c r="C18" s="13">
        <v>200.0</v>
      </c>
      <c r="D18" s="14">
        <v>45730.0</v>
      </c>
      <c r="E18" s="16" t="str">
        <f>IF(mar[data]&lt;&gt;"",UPPER(TEXT(mar[data],"mmm")), "")</f>
        <v>MAR.</v>
      </c>
      <c r="F18" s="16">
        <v>15.0</v>
      </c>
      <c r="G18" s="16">
        <v>10.0</v>
      </c>
      <c r="H18" s="95">
        <f>IF(mar[n parc] = 999, mar[valor] *1 - mar[valor pago] , mar[valor]*mar[n parc] - mar[valor pago])
</f>
        <v>1831</v>
      </c>
      <c r="I18" s="96">
        <f>IF(mar[valor pago]="",mar[n parc], IF(mar[n parc]=999, 999, IF(AND(mar[n parc]=1,mar[total devido]=0),mar[n parc]-1, IF(AND(mar[n parc]&gt;1, OR(mar[total devido]&lt;&gt;0,mar[total devido]=0)),mar[n parc]-1,mar[n parc]))))</f>
        <v>9</v>
      </c>
      <c r="J18" s="19" t="s">
        <v>18</v>
      </c>
    </row>
    <row r="19">
      <c r="A19" s="41" t="s">
        <v>59</v>
      </c>
      <c r="B19" s="42">
        <v>106.87</v>
      </c>
      <c r="C19" s="13">
        <v>106.87</v>
      </c>
      <c r="D19" s="25">
        <v>45730.0</v>
      </c>
      <c r="E19" s="43" t="str">
        <f>IF(mar[data]&lt;&gt;"",UPPER(TEXT(mar[data],"mmm")), "")</f>
        <v>MAR.</v>
      </c>
      <c r="F19" s="43">
        <v>16.0</v>
      </c>
      <c r="G19" s="43">
        <v>1.0</v>
      </c>
      <c r="H19" s="97">
        <f>IF(mar[n parc] = 999, mar[valor] *1 - mar[valor pago] , mar[valor]*mar[n parc] - mar[valor pago])
</f>
        <v>0</v>
      </c>
      <c r="I19" s="43">
        <f>IF(mar[valor pago]="",mar[n parc], IF(mar[n parc]=999, 999, IF(AND(mar[n parc]=1,mar[total devido]=0),mar[n parc]-1, IF(AND(mar[n parc]&gt;1, OR(mar[total devido]&lt;&gt;0,mar[total devido]=0)),mar[n parc]-1,mar[n parc]))))</f>
        <v>0</v>
      </c>
      <c r="J19" s="45" t="s">
        <v>13</v>
      </c>
    </row>
    <row r="20">
      <c r="A20" s="98" t="s">
        <v>55</v>
      </c>
      <c r="B20" s="99">
        <v>210.0</v>
      </c>
      <c r="C20" s="13">
        <v>210.0</v>
      </c>
      <c r="D20" s="14">
        <v>45732.0</v>
      </c>
      <c r="E20" s="96" t="str">
        <f>IF(mar[data]&lt;&gt;"",UPPER(TEXT(mar[data],"mmm")), "")</f>
        <v>MAR.</v>
      </c>
      <c r="F20" s="96">
        <v>16.0</v>
      </c>
      <c r="G20" s="96">
        <v>9.0</v>
      </c>
      <c r="H20" s="95">
        <f>IF(mar[n parc] = 999, mar[valor] *1 - mar[valor pago] , mar[valor]*mar[n parc] - mar[valor pago])
</f>
        <v>1680</v>
      </c>
      <c r="I20" s="96">
        <f>IF(mar[valor pago]="",mar[n parc], IF(mar[n parc]=999, 999, IF(AND(mar[n parc]=1,mar[total devido]=0),mar[n parc]-1, IF(AND(mar[n parc]&gt;1, OR(mar[total devido]&lt;&gt;0,mar[total devido]=0)),mar[n parc]-1,mar[n parc]))))</f>
        <v>8</v>
      </c>
      <c r="J20" s="100" t="s">
        <v>18</v>
      </c>
    </row>
    <row r="21">
      <c r="A21" s="46" t="s">
        <v>43</v>
      </c>
      <c r="B21" s="24">
        <v>250.8</v>
      </c>
      <c r="C21" s="24"/>
      <c r="D21" s="25"/>
      <c r="E21" s="38" t="str">
        <f>IF(mar[data]&lt;&gt;"",UPPER(TEXT(mar[data],"mmm")), "")</f>
        <v/>
      </c>
      <c r="F21" s="38">
        <v>16.0</v>
      </c>
      <c r="G21" s="27">
        <v>9.0</v>
      </c>
      <c r="H21" s="97">
        <f>IF(mar[n parc] = 999, mar[valor] *1 - mar[valor pago] , mar[valor]*mar[n parc] - mar[valor pago])
</f>
        <v>2257.2</v>
      </c>
      <c r="I21" s="43">
        <f>IF(mar[valor pago]="",mar[n parc], IF(mar[n parc]=999, 999, IF(AND(mar[n parc]=1,mar[total devido]=0),mar[n parc]-1, IF(AND(mar[n parc]&gt;1, OR(mar[total devido]&lt;&gt;0,mar[total devido]=0)),mar[n parc]-1,mar[n parc]))))</f>
        <v>9</v>
      </c>
      <c r="J21" s="29" t="s">
        <v>58</v>
      </c>
    </row>
    <row r="22">
      <c r="A22" s="98" t="s">
        <v>62</v>
      </c>
      <c r="B22" s="99">
        <v>460.57</v>
      </c>
      <c r="C22" s="13">
        <v>460.57</v>
      </c>
      <c r="D22" s="14">
        <v>45730.0</v>
      </c>
      <c r="E22" s="96" t="str">
        <f>IF(mar[data]&lt;&gt;"",UPPER(TEXT(mar[data],"mmm")), "")</f>
        <v>MAR.</v>
      </c>
      <c r="F22" s="96">
        <v>17.0</v>
      </c>
      <c r="G22" s="96">
        <v>6.0</v>
      </c>
      <c r="H22" s="95">
        <f>IF(mar[n parc] = 999, mar[valor] *1 - mar[valor pago] , mar[valor]*mar[n parc] - mar[valor pago])
</f>
        <v>2302.85</v>
      </c>
      <c r="I22" s="96">
        <f>IF(mar[valor pago]="",mar[n parc], IF(mar[n parc]=999, 999, IF(AND(mar[n parc]=1,mar[total devido]=0),mar[n parc]-1, IF(AND(mar[n parc]&gt;1, OR(mar[total devido]&lt;&gt;0,mar[total devido]=0)),mar[n parc]-1,mar[n parc]))))</f>
        <v>5</v>
      </c>
      <c r="J22" s="100" t="s">
        <v>13</v>
      </c>
    </row>
    <row r="23">
      <c r="A23" s="46" t="s">
        <v>44</v>
      </c>
      <c r="B23" s="47">
        <v>54.0</v>
      </c>
      <c r="C23" s="24"/>
      <c r="D23" s="25"/>
      <c r="E23" s="38" t="str">
        <f>IF(mar[data]&lt;&gt;"",UPPER(TEXT(mar[data],"mmm")), "")</f>
        <v/>
      </c>
      <c r="F23" s="38">
        <v>22.0</v>
      </c>
      <c r="G23" s="27">
        <v>999.0</v>
      </c>
      <c r="H23" s="97">
        <f>IF(mar[n parc] = 999, mar[valor] *1 - mar[valor pago] , mar[valor]*mar[n parc] - mar[valor pago])
</f>
        <v>54</v>
      </c>
      <c r="I23" s="43">
        <f>IF(mar[valor pago]="",mar[n parc], IF(mar[n parc]=999, 999, IF(AND(mar[n parc]=1,mar[total devido]=0),mar[n parc]-1, IF(AND(mar[n parc]&gt;1, OR(mar[total devido]&lt;&gt;0,mar[total devido]=0)),mar[n parc]-1,mar[n parc]))))</f>
        <v>999</v>
      </c>
      <c r="J23" s="29" t="s">
        <v>58</v>
      </c>
    </row>
    <row r="24">
      <c r="A24" s="33" t="s">
        <v>45</v>
      </c>
      <c r="B24" s="12">
        <v>69.9</v>
      </c>
      <c r="C24" s="13">
        <v>69.9</v>
      </c>
      <c r="D24" s="14">
        <v>45733.0</v>
      </c>
      <c r="E24" s="35" t="str">
        <f>IF(mar[data]&lt;&gt;"",UPPER(TEXT(mar[data],"mmm")), "")</f>
        <v>MAR.</v>
      </c>
      <c r="F24" s="35">
        <v>20.0</v>
      </c>
      <c r="G24" s="16">
        <v>999.0</v>
      </c>
      <c r="H24" s="95">
        <f>IF(mar[n parc] = 999, mar[valor] *1 - mar[valor pago] , mar[valor]*mar[n parc] - mar[valor pago])
</f>
        <v>0</v>
      </c>
      <c r="I24" s="96">
        <f>IF(mar[valor pago]="",mar[n parc], IF(mar[n parc]=999, 999, IF(AND(mar[n parc]=1,mar[total devido]=0),mar[n parc]-1, IF(AND(mar[n parc]&gt;1, OR(mar[total devido]&lt;&gt;0,mar[total devido]=0)),mar[n parc]-1,mar[n parc]))))</f>
        <v>999</v>
      </c>
      <c r="J24" s="19" t="s">
        <v>18</v>
      </c>
    </row>
    <row r="25">
      <c r="A25" s="22" t="s">
        <v>46</v>
      </c>
      <c r="B25" s="24">
        <v>812.28</v>
      </c>
      <c r="C25" s="13">
        <v>812.28</v>
      </c>
      <c r="D25" s="25">
        <v>45730.0</v>
      </c>
      <c r="E25" s="27" t="str">
        <f>IF(mar[data]&lt;&gt;"",UPPER(TEXT(mar[data],"mmm")), "")</f>
        <v>MAR.</v>
      </c>
      <c r="F25" s="27">
        <v>20.0</v>
      </c>
      <c r="G25" s="27">
        <v>999.0</v>
      </c>
      <c r="H25" s="97">
        <f>IF(mar[n parc] = 999, mar[valor] *1 - mar[valor pago] , mar[valor]*mar[n parc] - mar[valor pago])
</f>
        <v>0</v>
      </c>
      <c r="I25" s="43">
        <f>IF(mar[valor pago]="",mar[n parc], IF(mar[n parc]=999, 999, IF(AND(mar[n parc]=1,mar[total devido]=0),mar[n parc]-1, IF(AND(mar[n parc]&gt;1, OR(mar[total devido]&lt;&gt;0,mar[total devido]=0)),mar[n parc]-1,mar[n parc]))))</f>
        <v>999</v>
      </c>
      <c r="J25" s="29" t="s">
        <v>13</v>
      </c>
    </row>
    <row r="26">
      <c r="A26" s="33" t="s">
        <v>47</v>
      </c>
      <c r="B26" s="39">
        <v>616.99</v>
      </c>
      <c r="C26" s="39"/>
      <c r="D26" s="14"/>
      <c r="E26" s="35" t="str">
        <f>IF(mar[data]&lt;&gt;"",UPPER(TEXT(mar[data],"mmm")), "")</f>
        <v/>
      </c>
      <c r="F26" s="35">
        <v>25.0</v>
      </c>
      <c r="G26" s="16">
        <v>999.0</v>
      </c>
      <c r="H26" s="95">
        <f>IF(mar[n parc] = 999, mar[valor] *1 - mar[valor pago] , mar[valor]*mar[n parc] - mar[valor pago])
</f>
        <v>616.99</v>
      </c>
      <c r="I26" s="96">
        <f>IF(mar[valor pago]="",mar[n parc], IF(mar[n parc]=999, 999, IF(AND(mar[n parc]=1,mar[total devido]=0),mar[n parc]-1, IF(AND(mar[n parc]&gt;1, OR(mar[total devido]&lt;&gt;0,mar[total devido]=0)),mar[n parc]-1,mar[n parc]))))</f>
        <v>999</v>
      </c>
      <c r="J26" s="19" t="s">
        <v>58</v>
      </c>
    </row>
    <row r="27">
      <c r="A27" s="41" t="s">
        <v>63</v>
      </c>
      <c r="B27" s="42">
        <f>190+50+60+17</f>
        <v>317</v>
      </c>
      <c r="C27" s="13">
        <v>317.0</v>
      </c>
      <c r="D27" s="25">
        <v>45716.0</v>
      </c>
      <c r="E27" s="101" t="str">
        <f>IF(mar[data]&lt;&gt;"",UPPER(TEXT(mar[data],"mmm")), "")</f>
        <v>FEV.</v>
      </c>
      <c r="G27" s="43">
        <v>999.0</v>
      </c>
      <c r="H27" s="97">
        <f>IF(mar[n parc] = 999, mar[valor] *1 - mar[valor pago] , mar[valor]*mar[n parc] - mar[valor pago])
</f>
        <v>0</v>
      </c>
      <c r="I27" s="43">
        <f>IF(mar[valor pago]="",mar[n parc], IF(mar[n parc]=999, 999, IF(AND(mar[n parc]=1,mar[total devido]=0),mar[n parc]-1, IF(AND(mar[n parc]&gt;1, OR(mar[total devido]&lt;&gt;0,mar[total devido]=0)),mar[n parc]-1,mar[n parc]))))</f>
        <v>999</v>
      </c>
      <c r="J27" s="45" t="s">
        <v>13</v>
      </c>
    </row>
    <row r="28">
      <c r="B28" s="102"/>
      <c r="C28" s="39"/>
      <c r="D28" s="103"/>
      <c r="E28" s="104" t="str">
        <f>IF(mar[data]&lt;&gt;"",UPPER(TEXT(mar[data],"mmm")), "")</f>
        <v/>
      </c>
      <c r="H28" s="95">
        <f>IF(mar[n parc] = 999, mar[valor] *1 - mar[valor pago] , mar[valor]*mar[n parc] - mar[valor pago])
</f>
        <v>0</v>
      </c>
      <c r="I28" s="96" t="str">
        <f>IF(mar[valor pago]="",mar[n parc], IF(mar[n parc]=999, 999, IF(AND(mar[n parc]=1,mar[total devido]=0),mar[n parc]-1, IF(AND(mar[n parc]&gt;1, OR(mar[total devido]&lt;&gt;0,mar[total devido]=0)),mar[n parc]-1,mar[n parc]))))</f>
        <v/>
      </c>
      <c r="J28" s="105"/>
    </row>
    <row r="29">
      <c r="B29" s="106"/>
      <c r="C29" s="106"/>
      <c r="D29" s="107"/>
      <c r="E29" s="101" t="str">
        <f>IF(mar[data]&lt;&gt;"",UPPER(TEXT(mar[data],"mmm")), "")</f>
        <v/>
      </c>
      <c r="H29" s="97">
        <f>IF(mar[n parc] = 999, mar[valor] *1 - mar[valor pago] , mar[valor]*mar[n parc] - mar[valor pago])
</f>
        <v>0</v>
      </c>
      <c r="I29" s="43" t="str">
        <f>IF(mar[valor pago]="",mar[n parc], IF(mar[n parc]=999, 999, IF(AND(mar[n parc]=1,mar[total devido]=0),mar[n parc]-1, IF(AND(mar[n parc]&gt;1, OR(mar[total devido]&lt;&gt;0,mar[total devido]=0)),mar[n parc]-1,mar[n parc]))))</f>
        <v/>
      </c>
      <c r="J29" s="108"/>
    </row>
    <row r="30">
      <c r="A30" s="109"/>
      <c r="B30" s="102"/>
      <c r="C30" s="102"/>
      <c r="D30" s="103"/>
      <c r="E30" s="104" t="str">
        <f>IF(mar[data]&lt;&gt;"",UPPER(TEXT(mar[data],"mmm")), "")</f>
        <v/>
      </c>
      <c r="H30" s="95">
        <f>IF(mar[n parc] = 999, mar[valor] *1 - mar[valor pago] , mar[valor]*mar[n parc] - mar[valor pago])
</f>
        <v>0</v>
      </c>
      <c r="I30" s="96" t="str">
        <f>IF(mar[valor pago]="",mar[n parc], IF(mar[n parc]=999, 999, IF(AND(mar[n parc]=1,mar[total devido]=0),mar[n parc]-1, IF(AND(mar[n parc]&gt;1, OR(mar[total devido]&lt;&gt;0,mar[total devido]=0)),mar[n parc]-1,mar[n parc]))))</f>
        <v/>
      </c>
      <c r="J30" s="105"/>
    </row>
    <row r="31">
      <c r="A31" s="110"/>
      <c r="B31" s="106"/>
      <c r="C31" s="106"/>
      <c r="D31" s="107"/>
      <c r="E31" s="101" t="str">
        <f>IF(mar[data]&lt;&gt;"",UPPER(TEXT(mar[data],"mmm")), "")</f>
        <v/>
      </c>
      <c r="H31" s="97">
        <f>IF(mar[n parc] = 999, mar[valor] *1 - mar[valor pago] , mar[valor]*mar[n parc] - mar[valor pago])
</f>
        <v>0</v>
      </c>
      <c r="I31" s="43" t="str">
        <f>IF(mar[valor pago]="",mar[n parc], IF(mar[n parc]=999, 999, IF(AND(mar[n parc]=1,mar[total devido]=0),mar[n parc]-1, IF(AND(mar[n parc]&gt;1, OR(mar[total devido]&lt;&gt;0,mar[total devido]=0)),mar[n parc]-1,mar[n parc]))))</f>
        <v/>
      </c>
      <c r="J31" s="108"/>
    </row>
    <row r="32">
      <c r="A32" s="111"/>
      <c r="B32" s="102"/>
      <c r="C32" s="102"/>
      <c r="D32" s="103"/>
      <c r="E32" s="104" t="str">
        <f>IF(mar[data]&lt;&gt;"",UPPER(TEXT(mar[data],"mmm")), "")</f>
        <v/>
      </c>
      <c r="H32" s="95">
        <f>IF(mar[n parc] = 999, mar[valor] *1 - mar[valor pago] , mar[valor]*mar[n parc] - mar[valor pago])
</f>
        <v>0</v>
      </c>
      <c r="I32" s="96" t="str">
        <f>IF(mar[valor pago]="",mar[n parc], IF(mar[n parc]=999, 999, IF(AND(mar[n parc]=1,mar[total devido]=0),mar[n parc]-1, IF(AND(mar[n parc]&gt;1, OR(mar[total devido]&lt;&gt;0,mar[total devido]=0)),mar[n parc]-1,mar[n parc]))))</f>
        <v/>
      </c>
      <c r="J32" s="105"/>
    </row>
    <row r="33">
      <c r="A33" s="110"/>
      <c r="B33" s="106"/>
      <c r="C33" s="106"/>
      <c r="D33" s="107"/>
      <c r="E33" s="101" t="str">
        <f>IF(mar[data]&lt;&gt;"",UPPER(TEXT(mar[data],"mmm")), "")</f>
        <v/>
      </c>
      <c r="H33" s="97">
        <f>IF(mar[n parc] = 999, mar[valor] *1 - mar[valor pago] , mar[valor]*mar[n parc] - mar[valor pago])
</f>
        <v>0</v>
      </c>
      <c r="I33" s="43" t="str">
        <f>IF(mar[valor pago]="",mar[n parc], IF(mar[n parc]=999, 999, IF(AND(mar[n parc]=1,mar[total devido]=0),mar[n parc]-1, IF(AND(mar[n parc]&gt;1, OR(mar[total devido]&lt;&gt;0,mar[total devido]=0)),mar[n parc]-1,mar[n parc]))))</f>
        <v/>
      </c>
      <c r="J33" s="108"/>
    </row>
    <row r="34">
      <c r="A34" s="111"/>
      <c r="B34" s="102"/>
      <c r="C34" s="102"/>
      <c r="D34" s="103"/>
      <c r="E34" s="104" t="str">
        <f>IF(mar[data]&lt;&gt;"",UPPER(TEXT(mar[data],"mmm")), "")</f>
        <v/>
      </c>
      <c r="H34" s="95">
        <f>IF(mar[n parc] = 999, mar[valor] *1 - mar[valor pago] , mar[valor]*mar[n parc] - mar[valor pago])
</f>
        <v>0</v>
      </c>
      <c r="I34" s="96" t="str">
        <f>IF(mar[valor pago]="",mar[n parc], IF(mar[n parc]=999, 999, IF(AND(mar[n parc]=1,mar[total devido]=0),mar[n parc]-1, IF(AND(mar[n parc]&gt;1, OR(mar[total devido]&lt;&gt;0,mar[total devido]=0)),mar[n parc]-1,mar[n parc]))))</f>
        <v/>
      </c>
      <c r="J34" s="105"/>
    </row>
    <row r="35">
      <c r="A35" s="110"/>
      <c r="B35" s="106"/>
      <c r="C35" s="106"/>
      <c r="D35" s="107"/>
      <c r="E35" s="101" t="str">
        <f>IF(mar[data]&lt;&gt;"",UPPER(TEXT(mar[data],"mmm")), "")</f>
        <v/>
      </c>
      <c r="H35" s="97">
        <f>IF(mar[n parc] = 999, mar[valor] *1 - mar[valor pago] , mar[valor]*mar[n parc] - mar[valor pago])
</f>
        <v>0</v>
      </c>
      <c r="I35" s="43" t="str">
        <f>IF(mar[valor pago]="",mar[n parc], IF(mar[n parc]=999, 999, IF(AND(mar[n parc]=1,mar[total devido]=0),mar[n parc]-1, IF(AND(mar[n parc]&gt;1, OR(mar[total devido]&lt;&gt;0,mar[total devido]=0)),mar[n parc]-1,mar[n parc]))))</f>
        <v/>
      </c>
      <c r="J35" s="108"/>
    </row>
    <row r="36">
      <c r="A36" s="111"/>
      <c r="B36" s="102"/>
      <c r="C36" s="102"/>
      <c r="D36" s="103"/>
      <c r="E36" s="104" t="str">
        <f>IF(mar[data]&lt;&gt;"",UPPER(TEXT(mar[data],"mmm")), "")</f>
        <v/>
      </c>
      <c r="H36" s="95">
        <f>IF(mar[n parc] = 999, mar[valor] *1 - mar[valor pago] , mar[valor]*mar[n parc] - mar[valor pago])
</f>
        <v>0</v>
      </c>
      <c r="I36" s="96" t="str">
        <f>IF(mar[valor pago]="",mar[n parc], IF(mar[n parc]=999, 999, IF(AND(mar[n parc]=1,mar[total devido]=0),mar[n parc]-1, IF(AND(mar[n parc]&gt;1, OR(mar[total devido]&lt;&gt;0,mar[total devido]=0)),mar[n parc]-1,mar[n parc]))))</f>
        <v/>
      </c>
      <c r="J36" s="105"/>
    </row>
    <row r="37">
      <c r="A37" s="110"/>
      <c r="B37" s="106"/>
      <c r="C37" s="106"/>
      <c r="D37" s="107"/>
      <c r="E37" s="101" t="str">
        <f>IF(mar[data]&lt;&gt;"",UPPER(TEXT(mar[data],"mmm")), "")</f>
        <v/>
      </c>
      <c r="H37" s="97">
        <f>IF(mar[n parc] = 999, mar[valor] *1 - mar[valor pago] , mar[valor]*mar[n parc] - mar[valor pago])
</f>
        <v>0</v>
      </c>
      <c r="I37" s="43" t="str">
        <f>IF(mar[valor pago]="",mar[n parc], IF(mar[n parc]=999, 999, IF(AND(mar[n parc]=1,mar[total devido]=0),mar[n parc]-1, IF(AND(mar[n parc]&gt;1, OR(mar[total devido]&lt;&gt;0,mar[total devido]=0)),mar[n parc]-1,mar[n parc]))))</f>
        <v/>
      </c>
      <c r="J37" s="108"/>
    </row>
    <row r="38">
      <c r="A38" s="111"/>
      <c r="B38" s="102"/>
      <c r="C38" s="102"/>
      <c r="D38" s="103"/>
      <c r="E38" s="15" t="str">
        <f>IF(mar[data]&lt;&gt;"",UPPER(TEXT(mar[data],"mmm")), "")</f>
        <v/>
      </c>
      <c r="F38" s="15"/>
      <c r="G38" s="15"/>
      <c r="H38" s="95">
        <f>IF(mar[n parc] = 999, mar[valor] *1 - mar[valor pago] , mar[valor]*mar[n parc] - mar[valor pago])
</f>
        <v>0</v>
      </c>
      <c r="I38" s="96" t="str">
        <f>IF(mar[valor pago]="",mar[n parc], IF(mar[n parc]=999, 999, IF(AND(mar[n parc]=1,mar[total devido]=0),mar[n parc]-1, IF(AND(mar[n parc]&gt;1, OR(mar[total devido]&lt;&gt;0,mar[total devido]=0)),mar[n parc]-1,mar[n parc]))))</f>
        <v/>
      </c>
      <c r="J38" s="105"/>
    </row>
    <row r="39">
      <c r="A39" s="110"/>
      <c r="B39" s="106"/>
      <c r="C39" s="106"/>
      <c r="D39" s="107"/>
      <c r="E39" s="26" t="str">
        <f>IF(mar[data]&lt;&gt;"",UPPER(TEXT(mar[data],"mmm")), "")</f>
        <v/>
      </c>
      <c r="F39" s="26"/>
      <c r="G39" s="26"/>
      <c r="H39" s="97">
        <f>IF(mar[n parc] = 999, mar[valor] *1 - mar[valor pago] , mar[valor]*mar[n parc] - mar[valor pago])
</f>
        <v>0</v>
      </c>
      <c r="I39" s="43" t="str">
        <f>IF(mar[valor pago]="",mar[n parc], IF(mar[n parc]=999, 999, IF(AND(mar[n parc]=1,mar[total devido]=0),mar[n parc]-1, IF(AND(mar[n parc]&gt;1, OR(mar[total devido]&lt;&gt;0,mar[total devido]=0)),mar[n parc]-1,mar[n parc]))))</f>
        <v/>
      </c>
      <c r="J39" s="108"/>
    </row>
    <row r="40">
      <c r="A40" s="111"/>
      <c r="B40" s="102"/>
      <c r="C40" s="102"/>
      <c r="D40" s="103"/>
      <c r="E40" s="15" t="str">
        <f>IF(mar[data]&lt;&gt;"",UPPER(TEXT(mar[data],"mmm")), "")</f>
        <v/>
      </c>
      <c r="F40" s="15"/>
      <c r="G40" s="15"/>
      <c r="H40" s="95">
        <f>IF(mar[n parc] = 999, mar[valor] *1 - mar[valor pago] , mar[valor]*mar[n parc] - mar[valor pago])
</f>
        <v>0</v>
      </c>
      <c r="I40" s="96" t="str">
        <f>IF(mar[valor pago]="",mar[n parc], IF(mar[n parc]=999, 999, IF(AND(mar[n parc]=1,mar[total devido]=0),mar[n parc]-1, IF(AND(mar[n parc]&gt;1, OR(mar[total devido]&lt;&gt;0,mar[total devido]=0)),mar[n parc]-1,mar[n parc]))))</f>
        <v/>
      </c>
      <c r="J40" s="105"/>
    </row>
    <row r="41">
      <c r="A41" s="110"/>
      <c r="B41" s="106"/>
      <c r="C41" s="106"/>
      <c r="D41" s="107"/>
      <c r="E41" s="26" t="str">
        <f>IF(mar[data]&lt;&gt;"",UPPER(TEXT(mar[data],"mmm")), "")</f>
        <v/>
      </c>
      <c r="F41" s="26"/>
      <c r="G41" s="26"/>
      <c r="H41" s="97">
        <f>IF(mar[n parc] = 999, mar[valor] *1 - mar[valor pago] , mar[valor]*mar[n parc] - mar[valor pago])
</f>
        <v>0</v>
      </c>
      <c r="I41" s="43" t="str">
        <f>IF(mar[valor pago]="",mar[n parc], IF(mar[n parc]=999, 999, IF(AND(mar[n parc]=1,mar[total devido]=0),mar[n parc]-1, IF(AND(mar[n parc]&gt;1, OR(mar[total devido]&lt;&gt;0,mar[total devido]=0)),mar[n parc]-1,mar[n parc]))))</f>
        <v/>
      </c>
      <c r="J41" s="108"/>
    </row>
    <row r="42">
      <c r="A42" s="111"/>
      <c r="B42" s="102"/>
      <c r="C42" s="102"/>
      <c r="D42" s="103"/>
      <c r="E42" s="15" t="str">
        <f>IF(mar[data]&lt;&gt;"",UPPER(TEXT(mar[data],"mmm")), "")</f>
        <v/>
      </c>
      <c r="F42" s="15"/>
      <c r="G42" s="15"/>
      <c r="H42" s="95">
        <f>IF(mar[n parc] = 999, mar[valor] *1 - mar[valor pago] , mar[valor]*mar[n parc] - mar[valor pago])
</f>
        <v>0</v>
      </c>
      <c r="I42" s="96" t="str">
        <f>IF(mar[valor pago]="",mar[n parc], IF(mar[n parc]=999, 999, IF(AND(mar[n parc]=1,mar[total devido]=0),mar[n parc]-1, IF(AND(mar[n parc]&gt;1, OR(mar[total devido]&lt;&gt;0,mar[total devido]=0)),mar[n parc]-1,mar[n parc]))))</f>
        <v/>
      </c>
      <c r="J42" s="105"/>
    </row>
    <row r="43">
      <c r="A43" s="110"/>
      <c r="B43" s="106"/>
      <c r="C43" s="106"/>
      <c r="D43" s="107"/>
      <c r="E43" s="26" t="str">
        <f>IF(mar[data]&lt;&gt;"",UPPER(TEXT(mar[data],"mmm")), "")</f>
        <v/>
      </c>
      <c r="F43" s="26"/>
      <c r="G43" s="26"/>
      <c r="H43" s="97">
        <f>IF(mar[n parc] = 999, mar[valor] *1 - mar[valor pago] , mar[valor]*mar[n parc] - mar[valor pago])
</f>
        <v>0</v>
      </c>
      <c r="I43" s="43" t="str">
        <f>IF(mar[valor pago]="",mar[n parc], IF(mar[n parc]=999, 999, IF(AND(mar[n parc]=1,mar[total devido]=0),mar[n parc]-1, IF(AND(mar[n parc]&gt;1, OR(mar[total devido]&lt;&gt;0,mar[total devido]=0)),mar[n parc]-1,mar[n parc]))))</f>
        <v/>
      </c>
      <c r="J43" s="108"/>
    </row>
    <row r="44">
      <c r="A44" s="111"/>
      <c r="B44" s="102"/>
      <c r="C44" s="102"/>
      <c r="D44" s="103"/>
      <c r="E44" s="15" t="str">
        <f>IF(mar[data]&lt;&gt;"",UPPER(TEXT(mar[data],"mmm")), "")</f>
        <v/>
      </c>
      <c r="F44" s="15"/>
      <c r="G44" s="15"/>
      <c r="H44" s="95">
        <f>IF(mar[n parc] = 999, mar[valor] *1 - mar[valor pago] , mar[valor]*mar[n parc] - mar[valor pago])
</f>
        <v>0</v>
      </c>
      <c r="I44" s="96" t="str">
        <f>IF(mar[valor pago]="",mar[n parc], IF(mar[n parc]=999, 999, IF(AND(mar[n parc]=1,mar[total devido]=0),mar[n parc]-1, IF(AND(mar[n parc]&gt;1, OR(mar[total devido]&lt;&gt;0,mar[total devido]=0)),mar[n parc]-1,mar[n parc]))))</f>
        <v/>
      </c>
      <c r="J44" s="105"/>
    </row>
    <row r="45">
      <c r="B45" s="106"/>
      <c r="C45" s="106"/>
      <c r="D45" s="107"/>
      <c r="E45" s="101" t="str">
        <f>IF(mar[data]&lt;&gt;"",UPPER(TEXT(mar[data],"mmm")), "")</f>
        <v/>
      </c>
      <c r="H45" s="97">
        <f>IF(mar[n parc] = 999, mar[valor] *1 - mar[valor pago] , mar[valor]*mar[n parc] - mar[valor pago])
</f>
        <v>0</v>
      </c>
      <c r="I45" s="43" t="str">
        <f>IF(mar[valor pago]="",mar[n parc], IF(mar[n parc]=999, 999, IF(AND(mar[n parc]=1,mar[total devido]=0),mar[n parc]-1, IF(AND(mar[n parc]&gt;1, OR(mar[total devido]&lt;&gt;0,mar[total devido]=0)),mar[n parc]-1,mar[n parc]))))</f>
        <v/>
      </c>
      <c r="J45" s="108"/>
    </row>
    <row r="46">
      <c r="B46" s="102"/>
      <c r="C46" s="102"/>
      <c r="D46" s="103"/>
      <c r="E46" s="104" t="str">
        <f>IF(mar[data]&lt;&gt;"",UPPER(TEXT(mar[data],"mmm")), "")</f>
        <v/>
      </c>
      <c r="H46" s="95">
        <f>IF(mar[n parc] = 999, mar[valor] *1 - mar[valor pago] , mar[valor]*mar[n parc] - mar[valor pago])
</f>
        <v>0</v>
      </c>
      <c r="I46" s="96" t="str">
        <f>IF(mar[valor pago]="",mar[n parc], IF(mar[n parc]=999, 999, IF(AND(mar[n parc]=1,mar[total devido]=0),mar[n parc]-1, IF(AND(mar[n parc]&gt;1, OR(mar[total devido]&lt;&gt;0,mar[total devido]=0)),mar[n parc]-1,mar[n parc]))))</f>
        <v/>
      </c>
      <c r="J46" s="105"/>
    </row>
    <row r="47">
      <c r="B47" s="106"/>
      <c r="C47" s="106"/>
      <c r="D47" s="107"/>
      <c r="E47" s="101" t="str">
        <f>IF(mar[data]&lt;&gt;"",UPPER(TEXT(mar[data],"mmm")), "")</f>
        <v/>
      </c>
      <c r="H47" s="97">
        <f>IF(mar[n parc] = 999, mar[valor] *1 - mar[valor pago] , mar[valor]*mar[n parc] - mar[valor pago])
</f>
        <v>0</v>
      </c>
      <c r="I47" s="43" t="str">
        <f>IF(mar[valor pago]="",mar[n parc], IF(mar[n parc]=999, 999, IF(AND(mar[n parc]=1,mar[total devido]=0),mar[n parc]-1, IF(AND(mar[n parc]&gt;1, OR(mar[total devido]&lt;&gt;0,mar[total devido]=0)),mar[n parc]-1,mar[n parc]))))</f>
        <v/>
      </c>
      <c r="J47" s="108"/>
    </row>
    <row r="48">
      <c r="B48" s="102"/>
      <c r="C48" s="102"/>
      <c r="D48" s="103"/>
      <c r="E48" s="104" t="str">
        <f>IF(mar[data]&lt;&gt;"",UPPER(TEXT(mar[data],"mmm")), "")</f>
        <v/>
      </c>
      <c r="H48" s="95">
        <f>IF(mar[n parc] = 999, mar[valor] *1 - mar[valor pago] , mar[valor]*mar[n parc] - mar[valor pago])
</f>
        <v>0</v>
      </c>
      <c r="I48" s="96" t="str">
        <f>IF(mar[valor pago]="",mar[n parc], IF(mar[n parc]=999, 999, IF(AND(mar[n parc]=1,mar[total devido]=0),mar[n parc]-1, IF(AND(mar[n parc]&gt;1, OR(mar[total devido]&lt;&gt;0,mar[total devido]=0)),mar[n parc]-1,mar[n parc]))))</f>
        <v/>
      </c>
      <c r="J48" s="105"/>
    </row>
    <row r="49">
      <c r="B49" s="106"/>
      <c r="C49" s="106"/>
      <c r="D49" s="107"/>
      <c r="E49" s="101" t="str">
        <f>IF(mar[data]&lt;&gt;"",UPPER(TEXT(mar[data],"mmm")), "")</f>
        <v/>
      </c>
      <c r="H49" s="97">
        <f>IF(mar[n parc] = 999, mar[valor] *1 - mar[valor pago] , mar[valor]*mar[n parc] - mar[valor pago])
</f>
        <v>0</v>
      </c>
      <c r="I49" s="43" t="str">
        <f>IF(mar[valor pago]="",mar[n parc], IF(mar[n parc]=999, 999, IF(AND(mar[n parc]=1,mar[total devido]=0),mar[n parc]-1, IF(AND(mar[n parc]&gt;1, OR(mar[total devido]&lt;&gt;0,mar[total devido]=0)),mar[n parc]-1,mar[n parc]))))</f>
        <v/>
      </c>
      <c r="J49" s="108"/>
    </row>
    <row r="50">
      <c r="B50" s="112"/>
      <c r="C50" s="112"/>
      <c r="D50" s="113"/>
      <c r="E50" s="114" t="str">
        <f>IF(mar[data]&lt;&gt;"",UPPER(TEXT(mar[data],"mmm")), "")</f>
        <v/>
      </c>
      <c r="H50" s="115">
        <f>IF(mar[n parc] = 999, mar[valor] *1 - mar[valor pago] , mar[valor]*mar[n parc] - mar[valor pago])
</f>
        <v>0</v>
      </c>
      <c r="I50" s="58" t="str">
        <f>IF(mar[valor pago]="",mar[n parc], IF(mar[n parc]=999, 999, IF(AND(mar[n parc]=1,mar[total devido]=0),mar[n parc]-1, IF(AND(mar[n parc]&gt;1, OR(mar[total devido]&lt;&gt;0,mar[total devido]=0)),mar[n parc]-1,mar[n parc]))))</f>
        <v/>
      </c>
      <c r="J50" s="116"/>
    </row>
  </sheetData>
  <conditionalFormatting sqref="C1:C28">
    <cfRule type="notContainsBlanks" dxfId="0" priority="1">
      <formula>LEN(TRIM(C1))&gt;0</formula>
    </cfRule>
  </conditionalFormatting>
  <dataValidations>
    <dataValidation type="custom" allowBlank="1" showDropDown="1" sqref="D2:D50">
      <formula1>OR(NOT(ISERROR(DATEVALUE(D2))), AND(ISNUMBER(D2), LEFT(CELL("format", D2))="D"))</formula1>
    </dataValidation>
    <dataValidation type="list" allowBlank="1" sqref="J2:J50">
      <formula1>"cartao,debito,a apagar,limiteItau,pagamento,investimento"</formula1>
    </dataValidation>
    <dataValidation type="custom" allowBlank="1" showDropDown="1" sqref="M2:M13 B2:C50 H2:H50">
      <formula1>AND(ISNUMBER(B2),(NOT(OR(NOT(ISERROR(DATEVALUE(B2))), AND(ISNUMBER(B2), LEFT(CELL("format", B2))="D")))))</formula1>
    </dataValidation>
  </dataValidations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88"/>
    <col customWidth="1" min="2" max="2" width="11.0"/>
    <col customWidth="1" min="3" max="3" width="12.75"/>
    <col customWidth="1" min="4" max="4" width="10.13"/>
    <col customWidth="1" min="5" max="5" width="8.38"/>
    <col customWidth="1" min="6" max="6" width="9.0"/>
    <col customWidth="1" min="7" max="7" width="14.88"/>
    <col customWidth="1" min="8" max="8" width="11.63"/>
    <col customWidth="1" min="9" max="9" width="17.5"/>
    <col customWidth="1" min="10" max="10" width="8.13"/>
    <col customWidth="1" min="11" max="11" width="14.5"/>
    <col customWidth="1" min="12" max="12" width="14.63"/>
  </cols>
  <sheetData>
    <row r="1">
      <c r="A1" s="30" t="s">
        <v>0</v>
      </c>
      <c r="B1" s="30" t="s">
        <v>1</v>
      </c>
      <c r="C1" s="30" t="s">
        <v>2</v>
      </c>
      <c r="D1" s="117" t="s">
        <v>3</v>
      </c>
      <c r="E1" s="30" t="s">
        <v>50</v>
      </c>
      <c r="F1" s="30" t="s">
        <v>6</v>
      </c>
      <c r="G1" s="30" t="s">
        <v>64</v>
      </c>
      <c r="H1" s="30" t="s">
        <v>8</v>
      </c>
      <c r="I1" s="30" t="s">
        <v>9</v>
      </c>
      <c r="J1" s="8"/>
      <c r="K1" s="30" t="s">
        <v>10</v>
      </c>
      <c r="L1" s="63" t="s">
        <v>11</v>
      </c>
    </row>
    <row r="2">
      <c r="A2" s="8"/>
      <c r="B2" s="8"/>
      <c r="C2" s="8"/>
      <c r="D2" s="118"/>
      <c r="E2" s="8"/>
      <c r="F2" s="8"/>
      <c r="G2" s="8"/>
      <c r="H2" s="8"/>
      <c r="I2" s="30"/>
      <c r="J2" s="30"/>
      <c r="K2" s="30"/>
      <c r="L2" s="119"/>
    </row>
    <row r="3">
      <c r="A3" s="30" t="s">
        <v>65</v>
      </c>
      <c r="B3" s="63">
        <v>312.85</v>
      </c>
      <c r="C3" s="63">
        <v>312.85</v>
      </c>
      <c r="D3" s="64">
        <v>45744.0</v>
      </c>
      <c r="E3" s="30">
        <v>1.0</v>
      </c>
      <c r="F3" s="30">
        <v>5.0</v>
      </c>
      <c r="G3" s="120">
        <f t="shared" ref="G3:G48" si="1">IF(F3 = 999, B3*1 - C3, B3*F3 - C3)
</f>
        <v>1251.4</v>
      </c>
      <c r="H3" s="117">
        <f t="shared" ref="H3:H48" si="2">IF(C3="", F3, IF(F3=999, 999, IF(AND(F3=1, G3=0), F3-1, IF(AND(F3&gt;1, OR(G3&lt;&gt;0, G3=0)), F3-1, F3))))</f>
        <v>4</v>
      </c>
      <c r="I3" s="30" t="s">
        <v>13</v>
      </c>
      <c r="J3" s="8"/>
      <c r="K3" s="121" t="s">
        <v>14</v>
      </c>
      <c r="L3" s="63">
        <f>SUM(B3:B28)</f>
        <v>10581.73</v>
      </c>
    </row>
    <row r="4">
      <c r="A4" s="117" t="s">
        <v>57</v>
      </c>
      <c r="B4" s="62">
        <f>620+41.23</f>
        <v>661.23</v>
      </c>
      <c r="C4" s="63">
        <v>661.23</v>
      </c>
      <c r="D4" s="64">
        <v>45744.0</v>
      </c>
      <c r="E4" s="117">
        <v>1.0</v>
      </c>
      <c r="F4" s="117">
        <v>1.0</v>
      </c>
      <c r="G4" s="120">
        <f t="shared" si="1"/>
        <v>0</v>
      </c>
      <c r="H4" s="117">
        <f t="shared" si="2"/>
        <v>0</v>
      </c>
      <c r="I4" s="117" t="s">
        <v>13</v>
      </c>
      <c r="K4" s="121" t="s">
        <v>16</v>
      </c>
      <c r="L4" s="63">
        <f>L3-L10-L12</f>
        <v>3305.37</v>
      </c>
    </row>
    <row r="5">
      <c r="A5" s="30" t="s">
        <v>17</v>
      </c>
      <c r="B5" s="63">
        <v>76.52</v>
      </c>
      <c r="C5" s="63">
        <v>76.52</v>
      </c>
      <c r="D5" s="64">
        <v>45744.0</v>
      </c>
      <c r="E5" s="122">
        <v>1.0</v>
      </c>
      <c r="F5" s="30">
        <v>999.0</v>
      </c>
      <c r="G5" s="120">
        <f t="shared" si="1"/>
        <v>0</v>
      </c>
      <c r="H5" s="117">
        <f t="shared" si="2"/>
        <v>999</v>
      </c>
      <c r="I5" s="30" t="s">
        <v>13</v>
      </c>
      <c r="J5" s="8"/>
      <c r="K5" s="121" t="s">
        <v>19</v>
      </c>
      <c r="L5" s="63">
        <f>1516.87+5839.37</f>
        <v>7356.24</v>
      </c>
    </row>
    <row r="6">
      <c r="A6" s="30" t="s">
        <v>22</v>
      </c>
      <c r="B6" s="63">
        <v>22.1</v>
      </c>
      <c r="C6" s="63">
        <v>22.1</v>
      </c>
      <c r="D6" s="64">
        <v>45748.0</v>
      </c>
      <c r="E6" s="30">
        <v>1.0</v>
      </c>
      <c r="F6" s="30">
        <v>999.0</v>
      </c>
      <c r="G6" s="120">
        <f t="shared" si="1"/>
        <v>0</v>
      </c>
      <c r="H6" s="117">
        <f t="shared" si="2"/>
        <v>999</v>
      </c>
      <c r="I6" s="30" t="s">
        <v>66</v>
      </c>
      <c r="J6" s="30"/>
      <c r="K6" s="121" t="s">
        <v>21</v>
      </c>
      <c r="L6" s="123">
        <f>SUM(G3:G48)</f>
        <v>20027.61</v>
      </c>
    </row>
    <row r="7">
      <c r="A7" s="30" t="s">
        <v>24</v>
      </c>
      <c r="B7" s="63">
        <v>924.69</v>
      </c>
      <c r="C7" s="63">
        <f>846.42+14.9+63.37</f>
        <v>924.69</v>
      </c>
      <c r="D7" s="64">
        <v>45744.0</v>
      </c>
      <c r="E7" s="122">
        <v>4.0</v>
      </c>
      <c r="F7" s="30">
        <v>999.0</v>
      </c>
      <c r="G7" s="120">
        <f t="shared" si="1"/>
        <v>0</v>
      </c>
      <c r="H7" s="117">
        <f t="shared" si="2"/>
        <v>999</v>
      </c>
      <c r="I7" s="30" t="s">
        <v>13</v>
      </c>
      <c r="J7" s="8"/>
      <c r="K7" s="124"/>
    </row>
    <row r="8">
      <c r="A8" s="117" t="s">
        <v>67</v>
      </c>
      <c r="B8" s="62">
        <v>39.75</v>
      </c>
      <c r="C8" s="63">
        <v>39.75</v>
      </c>
      <c r="D8" s="64">
        <v>45745.0</v>
      </c>
      <c r="E8" s="117">
        <v>4.0</v>
      </c>
      <c r="F8" s="117">
        <v>12.0</v>
      </c>
      <c r="G8" s="120">
        <f t="shared" si="1"/>
        <v>437.25</v>
      </c>
      <c r="H8" s="117">
        <f t="shared" si="2"/>
        <v>11</v>
      </c>
      <c r="I8" s="117" t="s">
        <v>66</v>
      </c>
      <c r="K8" s="124"/>
    </row>
    <row r="9">
      <c r="A9" s="30" t="s">
        <v>26</v>
      </c>
      <c r="B9" s="63">
        <v>110.0</v>
      </c>
      <c r="C9" s="63"/>
      <c r="D9" s="64"/>
      <c r="E9" s="30">
        <v>4.0</v>
      </c>
      <c r="F9" s="30">
        <v>1.0</v>
      </c>
      <c r="G9" s="120">
        <f t="shared" si="1"/>
        <v>110</v>
      </c>
      <c r="H9" s="117">
        <f t="shared" si="2"/>
        <v>1</v>
      </c>
      <c r="I9" s="8"/>
      <c r="J9" s="8"/>
      <c r="K9" s="121" t="s">
        <v>23</v>
      </c>
      <c r="L9" s="63">
        <f>IF(SUMIF(I3:I48, "debito", C3:C48) &gt; (L5-L15), -(SUMIF(I3:I48, "debito", C3:C48) - (L5-L15)), (L5-L15) - SUMIF(I3:I48, "debito", C3:C48))</f>
        <v>0</v>
      </c>
    </row>
    <row r="10">
      <c r="A10" s="117" t="s">
        <v>52</v>
      </c>
      <c r="B10" s="62">
        <v>338.94</v>
      </c>
      <c r="C10" s="63">
        <v>338.94</v>
      </c>
      <c r="D10" s="64">
        <v>45744.0</v>
      </c>
      <c r="E10" s="117">
        <v>9.0</v>
      </c>
      <c r="F10" s="117">
        <v>13.0</v>
      </c>
      <c r="G10" s="120">
        <f t="shared" si="1"/>
        <v>4067.28</v>
      </c>
      <c r="H10" s="117">
        <f t="shared" si="2"/>
        <v>12</v>
      </c>
      <c r="I10" s="117" t="s">
        <v>13</v>
      </c>
      <c r="K10" s="121" t="s">
        <v>25</v>
      </c>
      <c r="L10" s="119">
        <f>SUM(C3:C50)</f>
        <v>7004.51</v>
      </c>
    </row>
    <row r="11">
      <c r="A11" s="30" t="s">
        <v>30</v>
      </c>
      <c r="B11" s="63">
        <v>297.76</v>
      </c>
      <c r="C11" s="63"/>
      <c r="D11" s="64"/>
      <c r="E11" s="30">
        <v>10.0</v>
      </c>
      <c r="F11" s="30">
        <v>3.0</v>
      </c>
      <c r="G11" s="120">
        <f t="shared" si="1"/>
        <v>893.28</v>
      </c>
      <c r="H11" s="117">
        <f t="shared" si="2"/>
        <v>3</v>
      </c>
      <c r="I11" s="30"/>
      <c r="J11" s="8"/>
      <c r="K11" s="125"/>
    </row>
    <row r="12">
      <c r="A12" s="30" t="s">
        <v>34</v>
      </c>
      <c r="B12" s="63">
        <v>185.0</v>
      </c>
      <c r="C12" s="63"/>
      <c r="D12" s="64"/>
      <c r="E12" s="122">
        <v>10.0</v>
      </c>
      <c r="F12" s="30">
        <v>999.0</v>
      </c>
      <c r="G12" s="120">
        <f t="shared" si="1"/>
        <v>185</v>
      </c>
      <c r="H12" s="117">
        <f t="shared" si="2"/>
        <v>999</v>
      </c>
      <c r="I12" s="30"/>
      <c r="J12" s="8"/>
      <c r="K12" s="126" t="s">
        <v>68</v>
      </c>
      <c r="L12" s="127">
        <f>B8+B18+B6</f>
        <v>271.85</v>
      </c>
    </row>
    <row r="13">
      <c r="A13" s="30" t="s">
        <v>59</v>
      </c>
      <c r="B13" s="63">
        <v>514.36</v>
      </c>
      <c r="C13" s="63">
        <v>514.36</v>
      </c>
      <c r="D13" s="64">
        <v>45744.0</v>
      </c>
      <c r="E13" s="122">
        <v>12.0</v>
      </c>
      <c r="F13" s="30">
        <v>1.0</v>
      </c>
      <c r="G13" s="120">
        <f t="shared" si="1"/>
        <v>0</v>
      </c>
      <c r="H13" s="117">
        <f t="shared" si="2"/>
        <v>0</v>
      </c>
      <c r="I13" s="30" t="s">
        <v>13</v>
      </c>
      <c r="J13" s="8"/>
      <c r="K13" s="126" t="s">
        <v>29</v>
      </c>
      <c r="L13" s="62">
        <f>L5*10%</f>
        <v>735.624</v>
      </c>
    </row>
    <row r="14">
      <c r="A14" s="117" t="s">
        <v>36</v>
      </c>
      <c r="B14" s="62">
        <f>665.49+390.5</f>
        <v>1055.99</v>
      </c>
      <c r="C14" s="63">
        <v>665.49</v>
      </c>
      <c r="D14" s="64">
        <v>45744.0</v>
      </c>
      <c r="E14" s="117">
        <v>13.0</v>
      </c>
      <c r="F14" s="117">
        <v>999.0</v>
      </c>
      <c r="G14" s="120">
        <f t="shared" si="1"/>
        <v>390.5</v>
      </c>
      <c r="H14" s="117">
        <f t="shared" si="2"/>
        <v>999</v>
      </c>
      <c r="I14" s="117" t="s">
        <v>13</v>
      </c>
    </row>
    <row r="15">
      <c r="A15" s="30" t="s">
        <v>53</v>
      </c>
      <c r="B15" s="63">
        <v>563.8</v>
      </c>
      <c r="C15" s="63"/>
      <c r="D15" s="64"/>
      <c r="E15" s="122">
        <v>15.0</v>
      </c>
      <c r="F15" s="30">
        <v>5.0</v>
      </c>
      <c r="G15" s="120">
        <f t="shared" si="1"/>
        <v>2819</v>
      </c>
      <c r="H15" s="117">
        <f t="shared" si="2"/>
        <v>5</v>
      </c>
      <c r="I15" s="8"/>
      <c r="K15" s="126" t="s">
        <v>31</v>
      </c>
      <c r="L15" s="62">
        <f>407+6.58</f>
        <v>413.58</v>
      </c>
    </row>
    <row r="16">
      <c r="A16" s="30" t="s">
        <v>40</v>
      </c>
      <c r="B16" s="63">
        <v>200.0</v>
      </c>
      <c r="C16" s="63"/>
      <c r="D16" s="64"/>
      <c r="E16" s="122">
        <v>15.0</v>
      </c>
      <c r="F16" s="30">
        <v>999.0</v>
      </c>
      <c r="G16" s="120">
        <f t="shared" si="1"/>
        <v>200</v>
      </c>
      <c r="H16" s="117">
        <f t="shared" si="2"/>
        <v>999</v>
      </c>
      <c r="I16" s="8"/>
      <c r="J16" s="8"/>
      <c r="K16" s="8"/>
      <c r="L16" s="8"/>
    </row>
    <row r="17">
      <c r="A17" s="30" t="s">
        <v>54</v>
      </c>
      <c r="B17" s="63">
        <v>203.1</v>
      </c>
      <c r="C17" s="63"/>
      <c r="D17" s="64"/>
      <c r="E17" s="122">
        <v>15.0</v>
      </c>
      <c r="F17" s="30">
        <v>10.0</v>
      </c>
      <c r="G17" s="120">
        <f t="shared" si="1"/>
        <v>2031</v>
      </c>
      <c r="H17" s="117">
        <f t="shared" si="2"/>
        <v>10</v>
      </c>
      <c r="I17" s="30"/>
      <c r="J17" s="8"/>
      <c r="K17" s="8"/>
      <c r="L17" s="8"/>
    </row>
    <row r="18">
      <c r="A18" s="30" t="s">
        <v>55</v>
      </c>
      <c r="B18" s="63">
        <v>210.0</v>
      </c>
      <c r="C18" s="63"/>
      <c r="D18" s="64"/>
      <c r="E18" s="30">
        <v>16.0</v>
      </c>
      <c r="F18" s="30">
        <v>8.0</v>
      </c>
      <c r="G18" s="120">
        <f t="shared" si="1"/>
        <v>1680</v>
      </c>
      <c r="H18" s="117">
        <f t="shared" si="2"/>
        <v>8</v>
      </c>
      <c r="I18" s="30" t="s">
        <v>69</v>
      </c>
      <c r="J18" s="8"/>
      <c r="K18" s="8"/>
      <c r="L18" s="128" t="str">
        <f>SOMASE (I2:I50; "debito"; C2:C50) – (L5)</f>
        <v>#ERROR!</v>
      </c>
    </row>
    <row r="19">
      <c r="A19" s="117" t="s">
        <v>43</v>
      </c>
      <c r="B19" s="62">
        <v>250.8</v>
      </c>
      <c r="C19" s="63"/>
      <c r="D19" s="64"/>
      <c r="E19" s="117">
        <v>16.0</v>
      </c>
      <c r="F19" s="117">
        <v>8.0</v>
      </c>
      <c r="G19" s="120">
        <f t="shared" si="1"/>
        <v>2006.4</v>
      </c>
      <c r="H19" s="117">
        <f t="shared" si="2"/>
        <v>8</v>
      </c>
      <c r="I19" s="117"/>
    </row>
    <row r="20">
      <c r="A20" s="117" t="s">
        <v>70</v>
      </c>
      <c r="B20" s="62">
        <v>117.47</v>
      </c>
      <c r="C20" s="63"/>
      <c r="D20" s="64"/>
      <c r="E20" s="117">
        <v>16.0</v>
      </c>
      <c r="F20" s="117">
        <v>1.0</v>
      </c>
      <c r="G20" s="120">
        <f t="shared" si="1"/>
        <v>117.47</v>
      </c>
      <c r="H20" s="117">
        <f t="shared" si="2"/>
        <v>1</v>
      </c>
      <c r="K20" s="129" t="s">
        <v>33</v>
      </c>
      <c r="L20" s="128"/>
    </row>
    <row r="21">
      <c r="A21" s="117" t="s">
        <v>62</v>
      </c>
      <c r="B21" s="62">
        <v>460.57</v>
      </c>
      <c r="C21" s="63"/>
      <c r="D21" s="64"/>
      <c r="E21" s="117">
        <v>17.0</v>
      </c>
      <c r="F21" s="117">
        <v>5.0</v>
      </c>
      <c r="G21" s="120">
        <f t="shared" si="1"/>
        <v>2302.85</v>
      </c>
      <c r="H21" s="117">
        <f t="shared" si="2"/>
        <v>5</v>
      </c>
      <c r="K21" s="129" t="s">
        <v>35</v>
      </c>
      <c r="L21" s="128"/>
    </row>
    <row r="22">
      <c r="A22" s="30" t="s">
        <v>44</v>
      </c>
      <c r="B22" s="63">
        <v>54.0</v>
      </c>
      <c r="C22" s="63"/>
      <c r="D22" s="64"/>
      <c r="E22" s="122">
        <v>22.0</v>
      </c>
      <c r="F22" s="30">
        <v>999.0</v>
      </c>
      <c r="G22" s="120">
        <f t="shared" si="1"/>
        <v>54</v>
      </c>
      <c r="H22" s="117">
        <f t="shared" si="2"/>
        <v>999</v>
      </c>
      <c r="I22" s="8"/>
      <c r="K22" s="130" t="s">
        <v>38</v>
      </c>
      <c r="L22" s="131">
        <v>1000.0</v>
      </c>
    </row>
    <row r="23">
      <c r="A23" s="117" t="s">
        <v>45</v>
      </c>
      <c r="B23" s="62">
        <v>69.9</v>
      </c>
      <c r="C23" s="63"/>
      <c r="D23" s="64"/>
      <c r="E23" s="117">
        <v>20.0</v>
      </c>
      <c r="F23" s="117">
        <v>999.0</v>
      </c>
      <c r="G23" s="120">
        <f t="shared" si="1"/>
        <v>69.9</v>
      </c>
      <c r="H23" s="117">
        <f t="shared" si="2"/>
        <v>999</v>
      </c>
    </row>
    <row r="24">
      <c r="A24" s="30" t="s">
        <v>46</v>
      </c>
      <c r="B24" s="63">
        <v>812.28</v>
      </c>
      <c r="C24" s="63"/>
      <c r="D24" s="64"/>
      <c r="E24" s="122">
        <v>20.0</v>
      </c>
      <c r="F24" s="30">
        <v>999.0</v>
      </c>
      <c r="G24" s="120">
        <f t="shared" si="1"/>
        <v>812.28</v>
      </c>
      <c r="H24" s="117">
        <f t="shared" si="2"/>
        <v>999</v>
      </c>
      <c r="I24" s="30"/>
      <c r="J24" s="8"/>
      <c r="K24" s="8"/>
      <c r="L24" s="119"/>
    </row>
    <row r="25">
      <c r="A25" s="30" t="s">
        <v>47</v>
      </c>
      <c r="B25" s="63">
        <v>600.0</v>
      </c>
      <c r="C25" s="63"/>
      <c r="D25" s="64"/>
      <c r="E25" s="122">
        <v>25.0</v>
      </c>
      <c r="F25" s="30">
        <v>999.0</v>
      </c>
      <c r="G25" s="120">
        <f t="shared" si="1"/>
        <v>600</v>
      </c>
      <c r="H25" s="117">
        <f t="shared" si="2"/>
        <v>999</v>
      </c>
      <c r="I25" s="30"/>
      <c r="J25" s="8"/>
      <c r="K25" s="8"/>
      <c r="L25" s="8"/>
    </row>
    <row r="26">
      <c r="A26" s="30" t="s">
        <v>71</v>
      </c>
      <c r="B26" s="63">
        <v>1867.0</v>
      </c>
      <c r="C26" s="63">
        <v>1867.0</v>
      </c>
      <c r="D26" s="64">
        <v>45752.0</v>
      </c>
      <c r="E26" s="30">
        <v>1.0</v>
      </c>
      <c r="F26" s="30">
        <v>1.0</v>
      </c>
      <c r="G26" s="120">
        <f t="shared" si="1"/>
        <v>0</v>
      </c>
      <c r="H26" s="117">
        <f t="shared" si="2"/>
        <v>0</v>
      </c>
      <c r="I26" s="30" t="s">
        <v>13</v>
      </c>
    </row>
    <row r="27">
      <c r="A27" s="117" t="s">
        <v>72</v>
      </c>
      <c r="B27" s="62">
        <v>376.43</v>
      </c>
      <c r="C27" s="63">
        <v>376.43</v>
      </c>
      <c r="D27" s="64">
        <v>45744.0</v>
      </c>
      <c r="E27" s="117">
        <v>1.0</v>
      </c>
      <c r="F27" s="117">
        <v>1.0</v>
      </c>
      <c r="G27" s="120">
        <f t="shared" si="1"/>
        <v>0</v>
      </c>
      <c r="H27" s="117">
        <f t="shared" si="2"/>
        <v>0</v>
      </c>
      <c r="I27" s="117" t="s">
        <v>13</v>
      </c>
    </row>
    <row r="28">
      <c r="A28" s="117" t="s">
        <v>73</v>
      </c>
      <c r="B28" s="62">
        <v>257.19</v>
      </c>
      <c r="C28" s="63">
        <v>257.19</v>
      </c>
      <c r="D28" s="64">
        <v>45744.0</v>
      </c>
      <c r="E28" s="117">
        <v>1.0</v>
      </c>
      <c r="F28" s="117">
        <v>1.0</v>
      </c>
      <c r="G28" s="120">
        <f t="shared" si="1"/>
        <v>0</v>
      </c>
      <c r="H28" s="117">
        <f t="shared" si="2"/>
        <v>0</v>
      </c>
      <c r="I28" s="117" t="s">
        <v>13</v>
      </c>
    </row>
    <row r="29">
      <c r="A29" s="117" t="s">
        <v>74</v>
      </c>
      <c r="B29" s="62">
        <v>563.79</v>
      </c>
      <c r="C29" s="63">
        <v>563.79</v>
      </c>
      <c r="D29" s="64">
        <v>45744.0</v>
      </c>
      <c r="E29" s="117">
        <v>1.0</v>
      </c>
      <c r="F29" s="117">
        <v>1.0</v>
      </c>
      <c r="G29" s="120">
        <f t="shared" si="1"/>
        <v>0</v>
      </c>
      <c r="H29" s="117">
        <f t="shared" si="2"/>
        <v>0</v>
      </c>
      <c r="I29" s="117" t="s">
        <v>13</v>
      </c>
    </row>
    <row r="30">
      <c r="A30" s="117" t="s">
        <v>75</v>
      </c>
      <c r="B30" s="62">
        <v>56.17</v>
      </c>
      <c r="C30" s="63">
        <v>56.17</v>
      </c>
      <c r="D30" s="64">
        <v>45744.0</v>
      </c>
      <c r="E30" s="117">
        <v>24.0</v>
      </c>
      <c r="F30" s="117">
        <v>1.0</v>
      </c>
      <c r="G30" s="120">
        <f t="shared" si="1"/>
        <v>0</v>
      </c>
      <c r="H30" s="117">
        <f t="shared" si="2"/>
        <v>0</v>
      </c>
      <c r="I30" s="117" t="s">
        <v>13</v>
      </c>
    </row>
    <row r="31">
      <c r="A31" s="117" t="s">
        <v>76</v>
      </c>
      <c r="B31" s="62">
        <f>64+64</f>
        <v>128</v>
      </c>
      <c r="C31" s="63">
        <v>128.0</v>
      </c>
      <c r="D31" s="64">
        <v>45744.0</v>
      </c>
      <c r="E31" s="117">
        <v>1.0</v>
      </c>
      <c r="F31" s="117">
        <v>999.0</v>
      </c>
      <c r="G31" s="120">
        <f t="shared" si="1"/>
        <v>0</v>
      </c>
      <c r="H31" s="117">
        <f t="shared" si="2"/>
        <v>999</v>
      </c>
      <c r="I31" s="117" t="s">
        <v>13</v>
      </c>
    </row>
    <row r="32">
      <c r="A32" s="117" t="s">
        <v>77</v>
      </c>
      <c r="B32" s="62">
        <v>200.0</v>
      </c>
      <c r="C32" s="63">
        <v>200.0</v>
      </c>
      <c r="D32" s="64">
        <v>45745.0</v>
      </c>
      <c r="E32" s="117">
        <v>1.0</v>
      </c>
      <c r="F32" s="117">
        <v>1.0</v>
      </c>
      <c r="G32" s="120">
        <f t="shared" si="1"/>
        <v>0</v>
      </c>
      <c r="H32" s="117">
        <f t="shared" si="2"/>
        <v>0</v>
      </c>
      <c r="I32" s="117" t="s">
        <v>13</v>
      </c>
    </row>
    <row r="33">
      <c r="C33" s="63"/>
      <c r="G33" s="120">
        <f t="shared" si="1"/>
        <v>0</v>
      </c>
      <c r="H33" s="117" t="str">
        <f t="shared" si="2"/>
        <v/>
      </c>
    </row>
    <row r="34">
      <c r="C34" s="63"/>
      <c r="G34" s="120">
        <f t="shared" si="1"/>
        <v>0</v>
      </c>
      <c r="H34" s="117" t="str">
        <f t="shared" si="2"/>
        <v/>
      </c>
    </row>
    <row r="35">
      <c r="C35" s="63"/>
      <c r="G35" s="120">
        <f t="shared" si="1"/>
        <v>0</v>
      </c>
      <c r="H35" s="117" t="str">
        <f t="shared" si="2"/>
        <v/>
      </c>
    </row>
    <row r="36">
      <c r="A36" s="94"/>
      <c r="B36" s="94"/>
      <c r="C36" s="63"/>
      <c r="D36" s="94"/>
      <c r="E36" s="94"/>
      <c r="F36" s="94"/>
      <c r="G36" s="120">
        <f t="shared" si="1"/>
        <v>0</v>
      </c>
      <c r="H36" s="117" t="str">
        <f t="shared" si="2"/>
        <v/>
      </c>
      <c r="I36" s="94"/>
    </row>
    <row r="37">
      <c r="A37" s="94"/>
      <c r="B37" s="94"/>
      <c r="C37" s="63"/>
      <c r="D37" s="94"/>
      <c r="E37" s="94"/>
      <c r="F37" s="94"/>
      <c r="G37" s="120">
        <f t="shared" si="1"/>
        <v>0</v>
      </c>
      <c r="H37" s="117" t="str">
        <f t="shared" si="2"/>
        <v/>
      </c>
      <c r="I37" s="94"/>
    </row>
    <row r="38">
      <c r="A38" s="94"/>
      <c r="B38" s="94"/>
      <c r="C38" s="63"/>
      <c r="D38" s="94"/>
      <c r="E38" s="94"/>
      <c r="F38" s="94"/>
      <c r="G38" s="120">
        <f t="shared" si="1"/>
        <v>0</v>
      </c>
      <c r="H38" s="117" t="str">
        <f t="shared" si="2"/>
        <v/>
      </c>
      <c r="I38" s="94"/>
    </row>
    <row r="39">
      <c r="A39" s="94"/>
      <c r="B39" s="94"/>
      <c r="C39" s="63"/>
      <c r="D39" s="94"/>
      <c r="E39" s="94"/>
      <c r="F39" s="94"/>
      <c r="G39" s="120">
        <f t="shared" si="1"/>
        <v>0</v>
      </c>
      <c r="H39" s="117" t="str">
        <f t="shared" si="2"/>
        <v/>
      </c>
      <c r="I39" s="94"/>
    </row>
    <row r="40">
      <c r="A40" s="94"/>
      <c r="B40" s="94"/>
      <c r="C40" s="63"/>
      <c r="D40" s="94"/>
      <c r="E40" s="94"/>
      <c r="F40" s="94"/>
      <c r="G40" s="120">
        <f t="shared" si="1"/>
        <v>0</v>
      </c>
      <c r="H40" s="117" t="str">
        <f t="shared" si="2"/>
        <v/>
      </c>
      <c r="I40" s="94"/>
    </row>
    <row r="41">
      <c r="A41" s="94"/>
      <c r="B41" s="94"/>
      <c r="C41" s="63"/>
      <c r="D41" s="94"/>
      <c r="E41" s="94"/>
      <c r="F41" s="94"/>
      <c r="G41" s="120">
        <f t="shared" si="1"/>
        <v>0</v>
      </c>
      <c r="H41" s="117" t="str">
        <f t="shared" si="2"/>
        <v/>
      </c>
      <c r="I41" s="94"/>
    </row>
    <row r="42">
      <c r="A42" s="94"/>
      <c r="B42" s="94"/>
      <c r="C42" s="63"/>
      <c r="D42" s="94"/>
      <c r="E42" s="94"/>
      <c r="F42" s="94"/>
      <c r="G42" s="120">
        <f t="shared" si="1"/>
        <v>0</v>
      </c>
      <c r="H42" s="117" t="str">
        <f t="shared" si="2"/>
        <v/>
      </c>
      <c r="I42" s="94"/>
    </row>
    <row r="43">
      <c r="C43" s="63"/>
      <c r="G43" s="120">
        <f t="shared" si="1"/>
        <v>0</v>
      </c>
      <c r="H43" s="117" t="str">
        <f t="shared" si="2"/>
        <v/>
      </c>
    </row>
    <row r="44">
      <c r="C44" s="63"/>
      <c r="G44" s="120">
        <f t="shared" si="1"/>
        <v>0</v>
      </c>
      <c r="H44" s="117" t="str">
        <f t="shared" si="2"/>
        <v/>
      </c>
    </row>
    <row r="45">
      <c r="C45" s="63"/>
      <c r="G45" s="120">
        <f t="shared" si="1"/>
        <v>0</v>
      </c>
      <c r="H45" s="117" t="str">
        <f t="shared" si="2"/>
        <v/>
      </c>
    </row>
    <row r="46">
      <c r="C46" s="63"/>
      <c r="G46" s="120">
        <f t="shared" si="1"/>
        <v>0</v>
      </c>
      <c r="H46" s="117" t="str">
        <f t="shared" si="2"/>
        <v/>
      </c>
    </row>
    <row r="47">
      <c r="C47" s="63"/>
      <c r="G47" s="120">
        <f t="shared" si="1"/>
        <v>0</v>
      </c>
      <c r="H47" s="117" t="str">
        <f t="shared" si="2"/>
        <v/>
      </c>
    </row>
    <row r="48">
      <c r="C48" s="63"/>
      <c r="G48" s="120">
        <f t="shared" si="1"/>
        <v>0</v>
      </c>
      <c r="H48" s="117" t="str">
        <f t="shared" si="2"/>
        <v/>
      </c>
    </row>
  </sheetData>
  <autoFilter ref="$A$1:$L$48"/>
  <conditionalFormatting sqref="C1:C48">
    <cfRule type="notContainsBlanks" dxfId="0" priority="1">
      <formula>LEN(TRIM(C1))&gt;0</formula>
    </cfRule>
  </conditionalFormatting>
  <dataValidations>
    <dataValidation type="list" allowBlank="1" showErrorMessage="1" sqref="I1">
      <formula1>"pago em"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8.5"/>
    <col customWidth="1" min="2" max="2" width="16.88"/>
    <col customWidth="1" min="3" max="3" width="17.25"/>
    <col customWidth="1" min="4" max="4" width="12.38"/>
    <col customWidth="1" min="5" max="5" width="13.25"/>
    <col customWidth="1" min="6" max="6" width="10.5"/>
    <col customWidth="1" min="7" max="7" width="13.75"/>
    <col customWidth="1" min="8" max="8" width="15.75"/>
    <col customWidth="1" min="9" max="9" width="12.38"/>
    <col customWidth="1" min="10" max="10" width="16.88"/>
    <col customWidth="1" min="11" max="11" width="9.5"/>
    <col customWidth="1" min="12" max="12" width="13.63"/>
    <col customWidth="1" min="13" max="13" width="19.88"/>
  </cols>
  <sheetData>
    <row r="1">
      <c r="A1" s="132" t="s">
        <v>0</v>
      </c>
      <c r="B1" s="133" t="s">
        <v>1</v>
      </c>
      <c r="C1" s="134" t="s">
        <v>2</v>
      </c>
      <c r="D1" s="133" t="s">
        <v>3</v>
      </c>
      <c r="E1" s="133" t="s">
        <v>4</v>
      </c>
      <c r="F1" s="133" t="s">
        <v>5</v>
      </c>
      <c r="G1" s="133" t="s">
        <v>6</v>
      </c>
      <c r="H1" s="133" t="s">
        <v>7</v>
      </c>
      <c r="I1" s="133" t="s">
        <v>8</v>
      </c>
      <c r="J1" s="135" t="s">
        <v>9</v>
      </c>
      <c r="K1" s="93"/>
      <c r="L1" s="9" t="s">
        <v>10</v>
      </c>
      <c r="M1" s="10" t="s">
        <v>11</v>
      </c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>
      <c r="A2" s="136" t="s">
        <v>15</v>
      </c>
      <c r="B2" s="137">
        <f>1516.87+5839.37</f>
        <v>7356.24</v>
      </c>
      <c r="C2" s="138">
        <v>7356.24</v>
      </c>
      <c r="D2" s="139">
        <v>45744.0</v>
      </c>
      <c r="E2" s="140" t="str">
        <f>IF(contas[data]&lt;&gt;"",UPPER(TEXT(contas[data],"mmm")), "")</f>
        <v>MAR.</v>
      </c>
      <c r="F2" s="141">
        <v>30.0</v>
      </c>
      <c r="G2" s="141">
        <v>999.0</v>
      </c>
      <c r="H2" s="142">
        <f>IF(contas[n parc] = 999, contas[valor] *1 - contas[valor pago] , contas[valor]*contas[n parc] - contas[valor pago])
</f>
        <v>0</v>
      </c>
      <c r="I2" s="143">
        <f>IF(contas[valor pago]="",contas[n parc], IF(contas[n parc]=999, 999, IF(AND(contas[n parc]=1,contas[total devido]=0),contas[n parc]-1, IF(AND(contas[n parc]&gt;1, OR(contas[total devido]&lt;&gt;0,contas[total devido]=0)),contas[n parc]-1,contas[n parc]))))</f>
        <v>999</v>
      </c>
      <c r="J2" s="144" t="s">
        <v>15</v>
      </c>
      <c r="K2" s="93"/>
      <c r="L2" s="20" t="s">
        <v>14</v>
      </c>
      <c r="M2" s="21">
        <f>SUM(contas[valor])-M8-SUMIF(contas[pago em], "pagamento", contas[valor])</f>
        <v>10927.43</v>
      </c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>
      <c r="A3" s="145" t="s">
        <v>78</v>
      </c>
      <c r="B3" s="146">
        <v>2870.95</v>
      </c>
      <c r="C3" s="138">
        <v>2870.95</v>
      </c>
      <c r="D3" s="147">
        <v>45731.0</v>
      </c>
      <c r="E3" s="148" t="str">
        <f>IF(contas[data]&lt;&gt;"",UPPER(TEXT(contas[data],"mmm")), "")</f>
        <v>MAR.</v>
      </c>
      <c r="F3" s="149">
        <v>15.0</v>
      </c>
      <c r="G3" s="149">
        <v>999.0</v>
      </c>
      <c r="H3" s="150">
        <f>IF(contas[n parc] = 999, contas[valor] *1 - contas[valor pago] , contas[valor]*contas[n parc] - contas[valor pago])
</f>
        <v>0</v>
      </c>
      <c r="I3" s="151">
        <f>IF(contas[valor pago]="",contas[n parc], IF(contas[n parc]=999, 999, IF(AND(contas[n parc]=1,contas[total devido]=0),contas[n parc]-1, IF(AND(contas[n parc]&gt;1, OR(contas[total devido]&lt;&gt;0,contas[total devido]=0)),contas[n parc]-1,contas[n parc]))))</f>
        <v>999</v>
      </c>
      <c r="J3" s="152" t="s">
        <v>15</v>
      </c>
      <c r="K3" s="93"/>
      <c r="L3" s="31" t="s">
        <v>16</v>
      </c>
      <c r="M3" s="32">
        <f>M2-M7-M8</f>
        <v>-5.39</v>
      </c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>
      <c r="A4" s="136" t="s">
        <v>31</v>
      </c>
      <c r="B4" s="153">
        <f>413.58+287.5</f>
        <v>701.08</v>
      </c>
      <c r="C4" s="138">
        <v>701.08</v>
      </c>
      <c r="D4" s="139">
        <v>45744.0</v>
      </c>
      <c r="E4" s="140" t="str">
        <f>IF(contas[data]&lt;&gt;"",UPPER(TEXT(contas[data],"mmm")), "")</f>
        <v>MAR.</v>
      </c>
      <c r="F4" s="141">
        <v>1.0</v>
      </c>
      <c r="G4" s="141">
        <v>999.0</v>
      </c>
      <c r="H4" s="142">
        <f>IF(contas[n parc] = 999, contas[valor] *1 - contas[valor pago] , contas[valor]*contas[n parc] - contas[valor pago])
</f>
        <v>0</v>
      </c>
      <c r="I4" s="143">
        <f>IF(contas[valor pago]="",contas[n parc], IF(contas[n parc]=999, 999, IF(AND(contas[n parc]=1,contas[total devido]=0),contas[n parc]-1, IF(AND(contas[n parc]&gt;1, OR(contas[total devido]&lt;&gt;0,contas[total devido]=0)),contas[n parc]-1,contas[n parc]))))</f>
        <v>999</v>
      </c>
      <c r="J4" s="144" t="s">
        <v>79</v>
      </c>
      <c r="K4" s="93"/>
      <c r="L4" s="20" t="s">
        <v>19</v>
      </c>
      <c r="M4" s="21">
        <f>SUMIF(contas[pago em], "pagamento", contas[valor])</f>
        <v>10227.19</v>
      </c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>
      <c r="A5" s="154" t="s">
        <v>22</v>
      </c>
      <c r="B5" s="155">
        <v>22.1</v>
      </c>
      <c r="C5" s="156">
        <v>22.1</v>
      </c>
      <c r="D5" s="157">
        <v>45748.0</v>
      </c>
      <c r="E5" s="158" t="str">
        <f>IF(contas[data]&lt;&gt;"",UPPER(TEXT(contas[data],"mmm")), "")</f>
        <v>ABR.</v>
      </c>
      <c r="F5" s="151">
        <v>1.0</v>
      </c>
      <c r="G5" s="151">
        <v>999.0</v>
      </c>
      <c r="H5" s="150">
        <f>IF(contas[n parc] = 999, contas[valor] *1 - contas[valor pago] , contas[valor]*contas[n parc] - contas[valor pago])
</f>
        <v>0</v>
      </c>
      <c r="I5" s="151">
        <f>IF(contas[valor pago]="",contas[n parc], IF(contas[n parc]=999, 999, IF(AND(contas[n parc]=1,contas[total devido]=0),contas[n parc]-1, IF(AND(contas[n parc]&gt;1, OR(contas[total devido]&lt;&gt;0,contas[total devido]=0)),contas[n parc]-1,contas[n parc]))))</f>
        <v>999</v>
      </c>
      <c r="J5" s="152" t="s">
        <v>18</v>
      </c>
      <c r="K5" s="93"/>
      <c r="L5" s="31" t="s">
        <v>21</v>
      </c>
      <c r="M5" s="37">
        <f>SUM(contas[total devido])</f>
        <v>15597.73</v>
      </c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>
      <c r="A6" s="159" t="s">
        <v>75</v>
      </c>
      <c r="B6" s="160">
        <v>56.17</v>
      </c>
      <c r="C6" s="156">
        <v>56.17</v>
      </c>
      <c r="D6" s="161">
        <v>45744.0</v>
      </c>
      <c r="E6" s="141" t="str">
        <f>IF(contas[data]&lt;&gt;"",UPPER(TEXT(contas[data],"mmm")), "")</f>
        <v>MAR.</v>
      </c>
      <c r="F6" s="141">
        <v>1.0</v>
      </c>
      <c r="G6" s="143">
        <v>1.0</v>
      </c>
      <c r="H6" s="142">
        <f>IF(contas[n parc] = 999, contas[valor] *1 - contas[valor pago] , contas[valor]*contas[n parc] - contas[valor pago])
</f>
        <v>0</v>
      </c>
      <c r="I6" s="143">
        <f>IF(contas[valor pago]="",contas[n parc], IF(contas[n parc]=999, 999, IF(AND(contas[n parc]=1,contas[total devido]=0),contas[n parc]-1, IF(AND(contas[n parc]&gt;1, OR(contas[total devido]&lt;&gt;0,contas[total devido]=0)),contas[n parc]-1,contas[n parc]))))</f>
        <v>0</v>
      </c>
      <c r="J6" s="162" t="s">
        <v>13</v>
      </c>
      <c r="K6" s="93"/>
      <c r="L6" s="20" t="s">
        <v>23</v>
      </c>
      <c r="M6" s="21">
        <f>IF(SUMIF(contas[pago em], "debito",contas[valor pago]) &gt; (M4-M10), -(SUMIF(contas[pago em], "debito",contas[valor pago]) - (M4-M10)), (M4-M10) - SUMIF(contas[pago em], "debito",contas[valor pago]))</f>
        <v>-29.74</v>
      </c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>
      <c r="A7" s="154" t="s">
        <v>17</v>
      </c>
      <c r="B7" s="155">
        <v>76.52</v>
      </c>
      <c r="C7" s="156">
        <v>76.52</v>
      </c>
      <c r="D7" s="157">
        <v>45744.0</v>
      </c>
      <c r="E7" s="148" t="str">
        <f>IF(contas[data]&lt;&gt;"",UPPER(TEXT(contas[data],"mmm")), "")</f>
        <v>MAR.</v>
      </c>
      <c r="F7" s="151">
        <v>1.0</v>
      </c>
      <c r="G7" s="151">
        <v>999.0</v>
      </c>
      <c r="H7" s="150">
        <f>IF(contas[n parc] = 999, contas[valor] *1 - contas[valor pago] , contas[valor]*contas[n parc] - contas[valor pago])
</f>
        <v>0</v>
      </c>
      <c r="I7" s="151">
        <f>IF(contas[valor pago]="",contas[n parc], IF(contas[n parc]=999, 999, IF(AND(contas[n parc]=1,contas[total devido]=0),contas[n parc]-1, IF(AND(contas[n parc]&gt;1, OR(contas[total devido]&lt;&gt;0,contas[total devido]=0)),contas[n parc]-1,contas[n parc]))))</f>
        <v>999</v>
      </c>
      <c r="J7" s="163" t="s">
        <v>13</v>
      </c>
      <c r="K7" s="93"/>
      <c r="L7" s="31" t="s">
        <v>25</v>
      </c>
      <c r="M7" s="32">
        <f>SUM(contas[valor pago])-M8-SUMIF(contas[pago em], "pagamento", contas[valor])</f>
        <v>10256.93</v>
      </c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>
      <c r="A8" s="159" t="s">
        <v>76</v>
      </c>
      <c r="B8" s="160">
        <f>64+64</f>
        <v>128</v>
      </c>
      <c r="C8" s="156">
        <v>128.0</v>
      </c>
      <c r="D8" s="161">
        <v>45744.0</v>
      </c>
      <c r="E8" s="164" t="str">
        <f>IF(contas[data]&lt;&gt;"",UPPER(TEXT(contas[data],"mmm")), "")</f>
        <v>MAR.</v>
      </c>
      <c r="F8" s="143">
        <v>1.0</v>
      </c>
      <c r="G8" s="143">
        <v>999.0</v>
      </c>
      <c r="H8" s="142">
        <f>IF(contas[n parc] = 999, contas[valor] *1 - contas[valor pago] , contas[valor]*contas[n parc] - contas[valor pago])
</f>
        <v>0</v>
      </c>
      <c r="I8" s="143">
        <f>IF(contas[valor pago]="",contas[n parc], IF(contas[n parc]=999, 999, IF(AND(contas[n parc]=1,contas[total devido]=0),contas[n parc]-1, IF(AND(contas[n parc]&gt;1, OR(contas[total devido]&lt;&gt;0,contas[total devido]=0)),contas[n parc]-1,contas[n parc]))))</f>
        <v>999</v>
      </c>
      <c r="J8" s="162" t="s">
        <v>13</v>
      </c>
      <c r="K8" s="93"/>
      <c r="L8" s="40" t="s">
        <v>27</v>
      </c>
      <c r="M8" s="21">
        <f>SUMIF(contas[pago em], "cartao", contas[valor])</f>
        <v>675.89</v>
      </c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>
      <c r="A9" s="154" t="s">
        <v>65</v>
      </c>
      <c r="B9" s="155">
        <v>312.85</v>
      </c>
      <c r="C9" s="156">
        <v>312.85</v>
      </c>
      <c r="D9" s="157">
        <v>45744.0</v>
      </c>
      <c r="E9" s="148" t="str">
        <f>IF(contas[data]&lt;&gt;"",UPPER(TEXT(contas[data],"mmm")), "")</f>
        <v>MAR.</v>
      </c>
      <c r="F9" s="151">
        <v>1.0</v>
      </c>
      <c r="G9" s="151">
        <v>5.0</v>
      </c>
      <c r="H9" s="150">
        <f>IF(contas[n parc] = 999, contas[valor] *1 - contas[valor pago] , contas[valor]*contas[n parc] - contas[valor pago])
</f>
        <v>1251.4</v>
      </c>
      <c r="I9" s="151">
        <f>IF(contas[valor pago]="",contas[n parc], IF(contas[n parc]=999, 999, IF(AND(contas[n parc]=1,contas[total devido]=0),contas[n parc]-1, IF(AND(contas[n parc]&gt;1, OR(contas[total devido]&lt;&gt;0,contas[total devido]=0)),contas[n parc]-1,contas[n parc]))))</f>
        <v>4</v>
      </c>
      <c r="J9" s="163" t="s">
        <v>13</v>
      </c>
      <c r="K9" s="93"/>
      <c r="L9" s="31" t="s">
        <v>29</v>
      </c>
      <c r="M9" s="32">
        <f>M4*10%</f>
        <v>1022.719</v>
      </c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>
      <c r="A10" s="159" t="s">
        <v>57</v>
      </c>
      <c r="B10" s="160">
        <f>620+41.23</f>
        <v>661.23</v>
      </c>
      <c r="C10" s="156">
        <v>661.23</v>
      </c>
      <c r="D10" s="161">
        <v>45744.0</v>
      </c>
      <c r="E10" s="164" t="str">
        <f>IF(contas[data]&lt;&gt;"",UPPER(TEXT(contas[data],"mmm")), "")</f>
        <v>MAR.</v>
      </c>
      <c r="F10" s="143">
        <v>1.0</v>
      </c>
      <c r="G10" s="143">
        <v>1.0</v>
      </c>
      <c r="H10" s="142">
        <f>IF(contas[n parc] = 999, contas[valor] *1 - contas[valor pago] , contas[valor]*contas[n parc] - contas[valor pago])
</f>
        <v>0</v>
      </c>
      <c r="I10" s="143">
        <f>IF(contas[valor pago]="",contas[n parc], IF(contas[n parc]=999, 999, IF(AND(contas[n parc]=1,contas[total devido]=0),contas[n parc]-1, IF(AND(contas[n parc]&gt;1, OR(contas[total devido]&lt;&gt;0,contas[total devido]=0)),contas[n parc]-1,contas[n parc]))))</f>
        <v>0</v>
      </c>
      <c r="J10" s="162" t="s">
        <v>13</v>
      </c>
      <c r="K10" s="93"/>
      <c r="L10" s="20" t="s">
        <v>31</v>
      </c>
      <c r="M10" s="21">
        <f>SUMIF(contas[pago em], "investimento", contas[valor])</f>
        <v>701.08</v>
      </c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</row>
    <row r="11">
      <c r="A11" s="154" t="s">
        <v>71</v>
      </c>
      <c r="B11" s="155">
        <v>1867.0</v>
      </c>
      <c r="C11" s="156">
        <v>1867.0</v>
      </c>
      <c r="D11" s="157">
        <v>45752.0</v>
      </c>
      <c r="E11" s="148" t="str">
        <f>IF(contas[data]&lt;&gt;"",UPPER(TEXT(contas[data],"mmm")), "")</f>
        <v>ABR.</v>
      </c>
      <c r="F11" s="151">
        <v>1.0</v>
      </c>
      <c r="G11" s="151">
        <v>1.0</v>
      </c>
      <c r="H11" s="150">
        <f>IF(contas[n parc] = 999, contas[valor] *1 - contas[valor pago] , contas[valor]*contas[n parc] - contas[valor pago])
</f>
        <v>0</v>
      </c>
      <c r="I11" s="151">
        <f>IF(contas[valor pago]="",contas[n parc], IF(contas[n parc]=999, 999, IF(AND(contas[n parc]=1,contas[total devido]=0),contas[n parc]-1, IF(AND(contas[n parc]&gt;1, OR(contas[total devido]&lt;&gt;0,contas[total devido]=0)),contas[n parc]-1,contas[n parc]))))</f>
        <v>0</v>
      </c>
      <c r="J11" s="163" t="s">
        <v>13</v>
      </c>
      <c r="K11" s="93"/>
      <c r="L11" s="31" t="s">
        <v>33</v>
      </c>
      <c r="M11" s="48">
        <v>1900.0</v>
      </c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>
      <c r="A12" s="159" t="s">
        <v>72</v>
      </c>
      <c r="B12" s="160">
        <v>376.43</v>
      </c>
      <c r="C12" s="156">
        <v>376.43</v>
      </c>
      <c r="D12" s="161">
        <v>45744.0</v>
      </c>
      <c r="E12" s="164" t="str">
        <f>IF(contas[data]&lt;&gt;"",UPPER(TEXT(contas[data],"mmm")), "")</f>
        <v>MAR.</v>
      </c>
      <c r="F12" s="143">
        <v>1.0</v>
      </c>
      <c r="G12" s="143">
        <v>1.0</v>
      </c>
      <c r="H12" s="142">
        <f>IF(contas[n parc] = 999, contas[valor] *1 - contas[valor pago] , contas[valor]*contas[n parc] - contas[valor pago])
</f>
        <v>0</v>
      </c>
      <c r="I12" s="143">
        <f>IF(contas[valor pago]="",contas[n parc], IF(contas[n parc]=999, 999, IF(AND(contas[n parc]=1,contas[total devido]=0),contas[n parc]-1, IF(AND(contas[n parc]&gt;1, OR(contas[total devido]&lt;&gt;0,contas[total devido]=0)),contas[n parc]-1,contas[n parc]))))</f>
        <v>0</v>
      </c>
      <c r="J12" s="162" t="s">
        <v>13</v>
      </c>
      <c r="K12" s="93"/>
      <c r="L12" s="49" t="s">
        <v>35</v>
      </c>
      <c r="M12" s="21">
        <f>600+300</f>
        <v>900</v>
      </c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>
      <c r="A13" s="154" t="s">
        <v>73</v>
      </c>
      <c r="B13" s="155">
        <v>257.19</v>
      </c>
      <c r="C13" s="156">
        <v>257.19</v>
      </c>
      <c r="D13" s="157">
        <v>45744.0</v>
      </c>
      <c r="E13" s="148" t="str">
        <f>IF(contas[data]&lt;&gt;"",UPPER(TEXT(contas[data],"mmm")), "")</f>
        <v>MAR.</v>
      </c>
      <c r="F13" s="151">
        <v>1.0</v>
      </c>
      <c r="G13" s="151">
        <v>1.0</v>
      </c>
      <c r="H13" s="150">
        <f>IF(contas[n parc] = 999, contas[valor] *1 - contas[valor pago] , contas[valor]*contas[n parc] - contas[valor pago])
</f>
        <v>0</v>
      </c>
      <c r="I13" s="151">
        <f>IF(contas[valor pago]="",contas[n parc], IF(contas[n parc]=999, 999, IF(AND(contas[n parc]=1,contas[total devido]=0),contas[n parc]-1, IF(AND(contas[n parc]&gt;1, OR(contas[total devido]&lt;&gt;0,contas[total devido]=0)),contas[n parc]-1,contas[n parc]))))</f>
        <v>0</v>
      </c>
      <c r="J13" s="163" t="s">
        <v>13</v>
      </c>
      <c r="K13" s="93"/>
      <c r="L13" s="165" t="s">
        <v>38</v>
      </c>
      <c r="M13" s="32">
        <v>1000.0</v>
      </c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>
      <c r="A14" s="159" t="s">
        <v>74</v>
      </c>
      <c r="B14" s="160">
        <v>563.79</v>
      </c>
      <c r="C14" s="156">
        <v>563.79</v>
      </c>
      <c r="D14" s="161">
        <v>45744.0</v>
      </c>
      <c r="E14" s="164" t="str">
        <f>IF(contas[data]&lt;&gt;"",UPPER(TEXT(contas[data],"mmm")), "")</f>
        <v>MAR.</v>
      </c>
      <c r="F14" s="143">
        <v>1.0</v>
      </c>
      <c r="G14" s="143">
        <v>1.0</v>
      </c>
      <c r="H14" s="142">
        <f>IF(contas[n parc] = 999, contas[valor] *1 - contas[valor pago] , contas[valor]*contas[n parc] - contas[valor pago])
</f>
        <v>0</v>
      </c>
      <c r="I14" s="143">
        <f>IF(contas[valor pago]="",contas[n parc], IF(contas[n parc]=999, 999, IF(AND(contas[n parc]=1,contas[total devido]=0),contas[n parc]-1, IF(AND(contas[n parc]&gt;1, OR(contas[total devido]&lt;&gt;0,contas[total devido]=0)),contas[n parc]-1,contas[n parc]))))</f>
        <v>0</v>
      </c>
      <c r="J14" s="162" t="s">
        <v>13</v>
      </c>
      <c r="K14" s="93"/>
      <c r="L14" s="166" t="s">
        <v>80</v>
      </c>
      <c r="M14" s="167">
        <f>SUMIF(contas[n parc], "999", contas[valor])-SUMIF(contas[pago em], "pagamento", contas[valor])</f>
        <v>4731.53</v>
      </c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>
      <c r="A15" s="154" t="s">
        <v>77</v>
      </c>
      <c r="B15" s="155">
        <v>200.0</v>
      </c>
      <c r="C15" s="156">
        <v>200.0</v>
      </c>
      <c r="D15" s="157">
        <v>45745.0</v>
      </c>
      <c r="E15" s="148" t="str">
        <f>IF(contas[data]&lt;&gt;"",UPPER(TEXT(contas[data],"mmm")), "")</f>
        <v>MAR.</v>
      </c>
      <c r="F15" s="151">
        <v>1.0</v>
      </c>
      <c r="G15" s="151">
        <v>1.0</v>
      </c>
      <c r="H15" s="150">
        <f>IF(contas[n parc] = 999, contas[valor] *1 - contas[valor pago] , contas[valor]*contas[n parc] - contas[valor pago])
</f>
        <v>0</v>
      </c>
      <c r="I15" s="151">
        <f>IF(contas[valor pago]="",contas[n parc], IF(contas[n parc]=999, 999, IF(AND(contas[n parc]=1,contas[total devido]=0),contas[n parc]-1, IF(AND(contas[n parc]&gt;1, OR(contas[total devido]&lt;&gt;0,contas[total devido]=0)),contas[n parc]-1,contas[n parc]))))</f>
        <v>0</v>
      </c>
      <c r="J15" s="163" t="s">
        <v>13</v>
      </c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>
      <c r="A16" s="159" t="s">
        <v>26</v>
      </c>
      <c r="B16" s="160">
        <v>110.0</v>
      </c>
      <c r="C16" s="160"/>
      <c r="D16" s="161"/>
      <c r="E16" s="164" t="str">
        <f>IF(contas[data]&lt;&gt;"",UPPER(TEXT(contas[data],"mmm")), "")</f>
        <v/>
      </c>
      <c r="F16" s="143">
        <v>4.0</v>
      </c>
      <c r="G16" s="143">
        <v>1.0</v>
      </c>
      <c r="H16" s="142">
        <f>IF(contas[n parc] = 999, contas[valor] *1 - contas[valor pago] , contas[valor]*contas[n parc] - contas[valor pago])
</f>
        <v>110</v>
      </c>
      <c r="I16" s="143">
        <f>IF(contas[valor pago]="",contas[n parc], IF(contas[n parc]=999, 999, IF(AND(contas[n parc]=1,contas[total devido]=0),contas[n parc]-1, IF(AND(contas[n parc]&gt;1, OR(contas[total devido]&lt;&gt;0,contas[total devido]=0)),contas[n parc]-1,contas[n parc]))))</f>
        <v>1</v>
      </c>
      <c r="J16" s="144" t="s">
        <v>37</v>
      </c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>
      <c r="A17" s="154" t="s">
        <v>67</v>
      </c>
      <c r="B17" s="155">
        <v>39.75</v>
      </c>
      <c r="C17" s="156">
        <v>39.75</v>
      </c>
      <c r="D17" s="157">
        <v>45745.0</v>
      </c>
      <c r="E17" s="148" t="str">
        <f>IF(contas[data]&lt;&gt;"",UPPER(TEXT(contas[data],"mmm")), "")</f>
        <v>MAR.</v>
      </c>
      <c r="F17" s="151">
        <v>4.0</v>
      </c>
      <c r="G17" s="151">
        <v>12.0</v>
      </c>
      <c r="H17" s="150">
        <f>IF(contas[n parc] = 999, contas[valor] *1 - contas[valor pago] , contas[valor]*contas[n parc] - contas[valor pago])
</f>
        <v>437.25</v>
      </c>
      <c r="I17" s="151">
        <f>IF(contas[valor pago]="",contas[n parc], IF(contas[n parc]=999, 999, IF(AND(contas[n parc]=1,contas[total devido]=0),contas[n parc]-1, IF(AND(contas[n parc]&gt;1, OR(contas[total devido]&lt;&gt;0,contas[total devido]=0)),contas[n parc]-1,contas[n parc]))))</f>
        <v>11</v>
      </c>
      <c r="J17" s="152" t="s">
        <v>18</v>
      </c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>
      <c r="A18" s="159" t="s">
        <v>24</v>
      </c>
      <c r="B18" s="160">
        <v>924.69</v>
      </c>
      <c r="C18" s="156">
        <f>846.42+14.9+63.37</f>
        <v>924.69</v>
      </c>
      <c r="D18" s="161">
        <v>45744.0</v>
      </c>
      <c r="E18" s="164" t="str">
        <f>IF(contas[data]&lt;&gt;"",UPPER(TEXT(contas[data],"mmm")), "")</f>
        <v>MAR.</v>
      </c>
      <c r="F18" s="143">
        <v>4.0</v>
      </c>
      <c r="G18" s="143">
        <v>999.0</v>
      </c>
      <c r="H18" s="142">
        <f>IF(contas[n parc] = 999, contas[valor] *1 - contas[valor pago] , contas[valor]*contas[n parc] - contas[valor pago])
</f>
        <v>0</v>
      </c>
      <c r="I18" s="143">
        <f>IF(contas[valor pago]="",contas[n parc], IF(contas[n parc]=999, 999, IF(AND(contas[n parc]=1,contas[total devido]=0),contas[n parc]-1, IF(AND(contas[n parc]&gt;1, OR(contas[total devido]&lt;&gt;0,contas[total devido]=0)),contas[n parc]-1,contas[n parc]))))</f>
        <v>999</v>
      </c>
      <c r="J18" s="162" t="s">
        <v>13</v>
      </c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>
      <c r="A19" s="154" t="s">
        <v>52</v>
      </c>
      <c r="B19" s="155">
        <v>338.94</v>
      </c>
      <c r="C19" s="156">
        <v>338.94</v>
      </c>
      <c r="D19" s="157">
        <v>45744.0</v>
      </c>
      <c r="E19" s="148" t="str">
        <f>IF(contas[data]&lt;&gt;"",UPPER(TEXT(contas[data],"mmm")), "")</f>
        <v>MAR.</v>
      </c>
      <c r="F19" s="151">
        <v>9.0</v>
      </c>
      <c r="G19" s="151">
        <v>13.0</v>
      </c>
      <c r="H19" s="150">
        <f>IF(contas[n parc] = 999, contas[valor] *1 - contas[valor pago] , contas[valor]*contas[n parc] - contas[valor pago])
</f>
        <v>4067.28</v>
      </c>
      <c r="I19" s="151">
        <f>IF(contas[valor pago]="",contas[n parc], IF(contas[n parc]=999, 999, IF(AND(contas[n parc]=1,contas[total devido]=0),contas[n parc]-1, IF(AND(contas[n parc]&gt;1, OR(contas[total devido]&lt;&gt;0,contas[total devido]=0)),contas[n parc]-1,contas[n parc]))))</f>
        <v>12</v>
      </c>
      <c r="J19" s="163" t="s">
        <v>13</v>
      </c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>
      <c r="A20" s="159" t="s">
        <v>34</v>
      </c>
      <c r="B20" s="168">
        <v>189.0</v>
      </c>
      <c r="C20" s="138">
        <v>189.0</v>
      </c>
      <c r="D20" s="139">
        <v>45762.0</v>
      </c>
      <c r="E20" s="164" t="str">
        <f>IF(contas[data]&lt;&gt;"",UPPER(TEXT(contas[data],"mmm")), "")</f>
        <v>ABR.</v>
      </c>
      <c r="F20" s="143">
        <v>10.0</v>
      </c>
      <c r="G20" s="143">
        <v>999.0</v>
      </c>
      <c r="H20" s="142">
        <f>IF(contas[n parc] = 999, contas[valor] *1 - contas[valor pago] , contas[valor]*contas[n parc] - contas[valor pago])
</f>
        <v>0</v>
      </c>
      <c r="I20" s="143">
        <f>IF(contas[valor pago]="",contas[n parc], IF(contas[n parc]=999, 999, IF(AND(contas[n parc]=1,contas[total devido]=0),contas[n parc]-1, IF(AND(contas[n parc]&gt;1, OR(contas[total devido]&lt;&gt;0,contas[total devido]=0)),contas[n parc]-1,contas[n parc]))))</f>
        <v>999</v>
      </c>
      <c r="J20" s="144" t="s">
        <v>13</v>
      </c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>
      <c r="A21" s="154" t="s">
        <v>30</v>
      </c>
      <c r="B21" s="146">
        <v>341.49</v>
      </c>
      <c r="C21" s="138">
        <v>341.49</v>
      </c>
      <c r="D21" s="147">
        <v>45762.0</v>
      </c>
      <c r="E21" s="148" t="str">
        <f>IF(contas[data]&lt;&gt;"",UPPER(TEXT(contas[data],"mmm")), "")</f>
        <v>ABR.</v>
      </c>
      <c r="F21" s="151">
        <v>10.0</v>
      </c>
      <c r="G21" s="151">
        <v>3.0</v>
      </c>
      <c r="H21" s="150">
        <f>IF(contas[n parc] = 999, contas[valor] *1 - contas[valor pago] , contas[valor]*contas[n parc] - contas[valor pago])
</f>
        <v>682.98</v>
      </c>
      <c r="I21" s="151">
        <f>IF(contas[valor pago]="",contas[n parc], IF(contas[n parc]=999, 999, IF(AND(contas[n parc]=1,contas[total devido]=0),contas[n parc]-1, IF(AND(contas[n parc]&gt;1, OR(contas[total devido]&lt;&gt;0,contas[total devido]=0)),contas[n parc]-1,contas[n parc]))))</f>
        <v>2</v>
      </c>
      <c r="J21" s="152" t="s">
        <v>18</v>
      </c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>
      <c r="A22" s="159" t="s">
        <v>59</v>
      </c>
      <c r="B22" s="160">
        <v>514.36</v>
      </c>
      <c r="C22" s="156">
        <v>514.36</v>
      </c>
      <c r="D22" s="161">
        <v>45744.0</v>
      </c>
      <c r="E22" s="164" t="str">
        <f>IF(contas[data]&lt;&gt;"",UPPER(TEXT(contas[data],"mmm")), "")</f>
        <v>MAR.</v>
      </c>
      <c r="F22" s="143">
        <v>12.0</v>
      </c>
      <c r="G22" s="141">
        <v>999.0</v>
      </c>
      <c r="H22" s="142">
        <f>IF(contas[n parc] = 999, contas[valor] *1 - contas[valor pago] , contas[valor]*contas[n parc] - contas[valor pago])
</f>
        <v>0</v>
      </c>
      <c r="I22" s="143">
        <f>IF(contas[valor pago]="",contas[n parc], IF(contas[n parc]=999, 999, IF(AND(contas[n parc]=1,contas[total devido]=0),contas[n parc]-1, IF(AND(contas[n parc]&gt;1, OR(contas[total devido]&lt;&gt;0,contas[total devido]=0)),contas[n parc]-1,contas[n parc]))))</f>
        <v>999</v>
      </c>
      <c r="J22" s="162" t="s">
        <v>13</v>
      </c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>
      <c r="A23" s="154" t="s">
        <v>36</v>
      </c>
      <c r="B23" s="155">
        <f>665.49+390.5</f>
        <v>1055.99</v>
      </c>
      <c r="C23" s="156">
        <v>665.49</v>
      </c>
      <c r="D23" s="157">
        <v>45744.0</v>
      </c>
      <c r="E23" s="148" t="str">
        <f>IF(contas[data]&lt;&gt;"",UPPER(TEXT(contas[data],"mmm")), "")</f>
        <v>MAR.</v>
      </c>
      <c r="F23" s="151">
        <v>13.0</v>
      </c>
      <c r="G23" s="151">
        <v>999.0</v>
      </c>
      <c r="H23" s="150">
        <f>IF(contas[n parc] = 999, contas[valor] *1 - contas[valor pago] , contas[valor]*contas[n parc] - contas[valor pago])
</f>
        <v>390.5</v>
      </c>
      <c r="I23" s="151">
        <f>IF(contas[valor pago]="",contas[n parc], IF(contas[n parc]=999, 999, IF(AND(contas[n parc]=1,contas[total devido]=0),contas[n parc]-1, IF(AND(contas[n parc]&gt;1, OR(contas[total devido]&lt;&gt;0,contas[total devido]=0)),contas[n parc]-1,contas[n parc]))))</f>
        <v>999</v>
      </c>
      <c r="J23" s="163" t="s">
        <v>13</v>
      </c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>
      <c r="A24" s="159" t="s">
        <v>40</v>
      </c>
      <c r="B24" s="160">
        <v>200.0</v>
      </c>
      <c r="C24" s="160"/>
      <c r="D24" s="161"/>
      <c r="E24" s="164" t="str">
        <f>IF(contas[data]&lt;&gt;"",UPPER(TEXT(contas[data],"mmm")), "")</f>
        <v/>
      </c>
      <c r="F24" s="143">
        <v>15.0</v>
      </c>
      <c r="G24" s="143">
        <v>999.0</v>
      </c>
      <c r="H24" s="142">
        <f>IF(contas[n parc] = 999, contas[valor] *1 - contas[valor pago] , contas[valor]*contas[n parc] - contas[valor pago])
</f>
        <v>200</v>
      </c>
      <c r="I24" s="143">
        <f>IF(contas[valor pago]="",contas[n parc], IF(contas[n parc]=999, 999, IF(AND(contas[n parc]=1,contas[total devido]=0),contas[n parc]-1, IF(AND(contas[n parc]&gt;1, OR(contas[total devido]&lt;&gt;0,contas[total devido]=0)),contas[n parc]-1,contas[n parc]))))</f>
        <v>999</v>
      </c>
      <c r="J24" s="144" t="s">
        <v>37</v>
      </c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>
      <c r="A25" s="145" t="s">
        <v>81</v>
      </c>
      <c r="B25" s="146">
        <v>147.0</v>
      </c>
      <c r="C25" s="138">
        <v>147.0</v>
      </c>
      <c r="D25" s="147">
        <v>45744.0</v>
      </c>
      <c r="E25" s="148" t="str">
        <f>IF(contas[data]&lt;&gt;"",UPPER(TEXT(contas[data],"mmm")), "")</f>
        <v>MAR.</v>
      </c>
      <c r="F25" s="151">
        <v>15.0</v>
      </c>
      <c r="G25" s="149">
        <v>9.0</v>
      </c>
      <c r="H25" s="150">
        <f>IF(contas[n parc] = 999, contas[valor] *1 - contas[valor pago] , contas[valor]*contas[n parc] - contas[valor pago])
</f>
        <v>1176</v>
      </c>
      <c r="I25" s="151">
        <f>IF(contas[valor pago]="",contas[n parc], IF(contas[n parc]=999, 999, IF(AND(contas[n parc]=1,contas[total devido]=0),contas[n parc]-1, IF(AND(contas[n parc]&gt;1, OR(contas[total devido]&lt;&gt;0,contas[total devido]=0)),contas[n parc]-1,contas[n parc]))))</f>
        <v>8</v>
      </c>
      <c r="J25" s="152" t="s">
        <v>13</v>
      </c>
      <c r="K25" s="169"/>
      <c r="L25" s="169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>
      <c r="A26" s="159" t="s">
        <v>53</v>
      </c>
      <c r="B26" s="168">
        <v>563.79</v>
      </c>
      <c r="C26" s="138">
        <v>563.79</v>
      </c>
      <c r="D26" s="139">
        <v>45762.0</v>
      </c>
      <c r="E26" s="164" t="str">
        <f>IF(contas[data]&lt;&gt;"",UPPER(TEXT(contas[data],"mmm")), "")</f>
        <v>ABR.</v>
      </c>
      <c r="F26" s="143">
        <v>15.0</v>
      </c>
      <c r="G26" s="143">
        <v>5.0</v>
      </c>
      <c r="H26" s="142">
        <f>IF(contas[n parc] = 999, contas[valor] *1 - contas[valor pago] , contas[valor]*contas[n parc] - contas[valor pago])
</f>
        <v>2255.16</v>
      </c>
      <c r="I26" s="143">
        <f>IF(contas[valor pago]="",contas[n parc], IF(contas[n parc]=999, 999, IF(AND(contas[n parc]=1,contas[total devido]=0),contas[n parc]-1, IF(AND(contas[n parc]&gt;1, OR(contas[total devido]&lt;&gt;0,contas[total devido]=0)),contas[n parc]-1,contas[n parc]))))</f>
        <v>4</v>
      </c>
      <c r="J26" s="144" t="s">
        <v>13</v>
      </c>
      <c r="K26" s="169"/>
      <c r="L26" s="170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>
      <c r="A27" s="154" t="s">
        <v>43</v>
      </c>
      <c r="B27" s="155">
        <v>250.8</v>
      </c>
      <c r="C27" s="138">
        <v>280.8</v>
      </c>
      <c r="D27" s="147">
        <v>45762.0</v>
      </c>
      <c r="E27" s="148" t="str">
        <f>IF(contas[data]&lt;&gt;"",UPPER(TEXT(contas[data],"mmm")), "")</f>
        <v>ABR.</v>
      </c>
      <c r="F27" s="151">
        <v>16.0</v>
      </c>
      <c r="G27" s="151">
        <v>8.0</v>
      </c>
      <c r="H27" s="150">
        <f>IF(contas[n parc] = 999, contas[valor] *1 - contas[valor pago] , contas[valor]*contas[n parc] - contas[valor pago])
</f>
        <v>1725.6</v>
      </c>
      <c r="I27" s="151">
        <f>IF(contas[valor pago]="",contas[n parc], IF(contas[n parc]=999, 999, IF(AND(contas[n parc]=1,contas[total devido]=0),contas[n parc]-1, IF(AND(contas[n parc]&gt;1, OR(contas[total devido]&lt;&gt;0,contas[total devido]=0)),contas[n parc]-1,contas[n parc]))))</f>
        <v>7</v>
      </c>
      <c r="J27" s="152" t="s">
        <v>13</v>
      </c>
      <c r="K27" s="169"/>
      <c r="L27" s="169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>
      <c r="A28" s="159" t="s">
        <v>70</v>
      </c>
      <c r="B28" s="160">
        <v>117.47</v>
      </c>
      <c r="C28" s="138">
        <v>117.47</v>
      </c>
      <c r="D28" s="139">
        <v>45762.0</v>
      </c>
      <c r="E28" s="164" t="str">
        <f>IF(contas[data]&lt;&gt;"",UPPER(TEXT(contas[data],"mmm")), "")</f>
        <v>ABR.</v>
      </c>
      <c r="F28" s="143">
        <v>16.0</v>
      </c>
      <c r="G28" s="143">
        <v>1.0</v>
      </c>
      <c r="H28" s="142">
        <f>IF(contas[n parc] = 999, contas[valor] *1 - contas[valor pago] , contas[valor]*contas[n parc] - contas[valor pago])
</f>
        <v>0</v>
      </c>
      <c r="I28" s="143">
        <f>IF(contas[valor pago]="",contas[n parc], IF(contas[n parc]=999, 999, IF(AND(contas[n parc]=1,contas[total devido]=0),contas[n parc]-1, IF(AND(contas[n parc]&gt;1, OR(contas[total devido]&lt;&gt;0,contas[total devido]=0)),contas[n parc]-1,contas[n parc]))))</f>
        <v>0</v>
      </c>
      <c r="J28" s="144" t="s">
        <v>13</v>
      </c>
      <c r="K28" s="169"/>
      <c r="L28" s="169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>
      <c r="A29" s="154" t="s">
        <v>55</v>
      </c>
      <c r="B29" s="155">
        <v>210.0</v>
      </c>
      <c r="C29" s="138">
        <v>210.0</v>
      </c>
      <c r="D29" s="147">
        <v>45763.0</v>
      </c>
      <c r="E29" s="148" t="str">
        <f>IF(contas[data]&lt;&gt;"",UPPER(TEXT(contas[data],"mmm")), "")</f>
        <v>ABR.</v>
      </c>
      <c r="F29" s="151">
        <v>16.0</v>
      </c>
      <c r="G29" s="151">
        <v>8.0</v>
      </c>
      <c r="H29" s="150">
        <f>IF(contas[n parc] = 999, contas[valor] *1 - contas[valor pago] , contas[valor]*contas[n parc] - contas[valor pago])
</f>
        <v>1470</v>
      </c>
      <c r="I29" s="151">
        <f>IF(contas[valor pago]="",contas[n parc], IF(contas[n parc]=999, 999, IF(AND(contas[n parc]=1,contas[total devido]=0),contas[n parc]-1, IF(AND(contas[n parc]&gt;1, OR(contas[total devido]&lt;&gt;0,contas[total devido]=0)),contas[n parc]-1,contas[n parc]))))</f>
        <v>7</v>
      </c>
      <c r="J29" s="152" t="s">
        <v>18</v>
      </c>
      <c r="K29" s="169"/>
      <c r="L29" s="169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>
      <c r="A30" s="159" t="s">
        <v>62</v>
      </c>
      <c r="B30" s="168">
        <v>457.89</v>
      </c>
      <c r="C30" s="138">
        <v>457.89</v>
      </c>
      <c r="D30" s="139">
        <v>45762.0</v>
      </c>
      <c r="E30" s="164" t="str">
        <f>IF(contas[data]&lt;&gt;"",UPPER(TEXT(contas[data],"mmm")), "")</f>
        <v>ABR.</v>
      </c>
      <c r="F30" s="143">
        <v>17.0</v>
      </c>
      <c r="G30" s="143">
        <v>5.0</v>
      </c>
      <c r="H30" s="142">
        <f>IF(contas[n parc] = 999, contas[valor] *1 - contas[valor pago] , contas[valor]*contas[n parc] - contas[valor pago])
</f>
        <v>1831.56</v>
      </c>
      <c r="I30" s="143">
        <f>IF(contas[valor pago]="",contas[n parc], IF(contas[n parc]=999, 999, IF(AND(contas[n parc]=1,contas[total devido]=0),contas[n parc]-1, IF(AND(contas[n parc]&gt;1, OR(contas[total devido]&lt;&gt;0,contas[total devido]=0)),contas[n parc]-1,contas[n parc]))))</f>
        <v>4</v>
      </c>
      <c r="J30" s="144" t="s">
        <v>13</v>
      </c>
      <c r="K30" s="169"/>
      <c r="L30" s="169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</row>
    <row r="31">
      <c r="A31" s="154" t="s">
        <v>45</v>
      </c>
      <c r="B31" s="155">
        <v>69.9</v>
      </c>
      <c r="C31" s="138">
        <v>69.9</v>
      </c>
      <c r="D31" s="147">
        <v>45762.0</v>
      </c>
      <c r="E31" s="148" t="str">
        <f>IF(contas[data]&lt;&gt;"",UPPER(TEXT(contas[data],"mmm")), "")</f>
        <v>ABR.</v>
      </c>
      <c r="F31" s="151">
        <v>20.0</v>
      </c>
      <c r="G31" s="151">
        <v>999.0</v>
      </c>
      <c r="H31" s="150">
        <f>IF(contas[n parc] = 999, contas[valor] *1 - contas[valor pago] , contas[valor]*contas[n parc] - contas[valor pago])
</f>
        <v>0</v>
      </c>
      <c r="I31" s="151">
        <f>IF(contas[valor pago]="",contas[n parc], IF(contas[n parc]=999, 999, IF(AND(contas[n parc]=1,contas[total devido]=0),contas[n parc]-1, IF(AND(contas[n parc]&gt;1, OR(contas[total devido]&lt;&gt;0,contas[total devido]=0)),contas[n parc]-1,contas[n parc]))))</f>
        <v>999</v>
      </c>
      <c r="J31" s="152" t="s">
        <v>13</v>
      </c>
      <c r="K31" s="169"/>
      <c r="L31" s="169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>
      <c r="A32" s="159" t="s">
        <v>46</v>
      </c>
      <c r="B32" s="168">
        <v>787.34</v>
      </c>
      <c r="C32" s="138">
        <v>787.34</v>
      </c>
      <c r="D32" s="139">
        <v>45762.0</v>
      </c>
      <c r="E32" s="164" t="str">
        <f>IF(contas[data]&lt;&gt;"",UPPER(TEXT(contas[data],"mmm")), "")</f>
        <v>ABR.</v>
      </c>
      <c r="F32" s="143">
        <v>20.0</v>
      </c>
      <c r="G32" s="143">
        <v>999.0</v>
      </c>
      <c r="H32" s="142">
        <f>IF(contas[n parc] = 999, contas[valor] *1 - contas[valor pago] , contas[valor]*contas[n parc] - contas[valor pago])
</f>
        <v>0</v>
      </c>
      <c r="I32" s="143">
        <f>IF(contas[valor pago]="",contas[n parc], IF(contas[n parc]=999, 999, IF(AND(contas[n parc]=1,contas[total devido]=0),contas[n parc]-1, IF(AND(contas[n parc]&gt;1, OR(contas[total devido]&lt;&gt;0,contas[total devido]=0)),contas[n parc]-1,contas[n parc]))))</f>
        <v>999</v>
      </c>
      <c r="J32" s="144" t="s">
        <v>13</v>
      </c>
      <c r="K32" s="169"/>
      <c r="L32" s="169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>
      <c r="A33" s="154" t="s">
        <v>44</v>
      </c>
      <c r="B33" s="146">
        <v>62.55</v>
      </c>
      <c r="C33" s="138">
        <v>62.55</v>
      </c>
      <c r="D33" s="147">
        <v>45762.0</v>
      </c>
      <c r="E33" s="148" t="str">
        <f>IF(contas[data]&lt;&gt;"",UPPER(TEXT(contas[data],"mmm")), "")</f>
        <v>ABR.</v>
      </c>
      <c r="F33" s="151">
        <v>22.0</v>
      </c>
      <c r="G33" s="151">
        <v>999.0</v>
      </c>
      <c r="H33" s="150">
        <f>IF(contas[n parc] = 999, contas[valor] *1 - contas[valor pago] , contas[valor]*contas[n parc] - contas[valor pago])
</f>
        <v>0</v>
      </c>
      <c r="I33" s="151">
        <f>IF(contas[valor pago]="",contas[n parc], IF(contas[n parc]=999, 999, IF(AND(contas[n parc]=1,contas[total devido]=0),contas[n parc]-1, IF(AND(contas[n parc]&gt;1, OR(contas[total devido]&lt;&gt;0,contas[total devido]=0)),contas[n parc]-1,contas[n parc]))))</f>
        <v>999</v>
      </c>
      <c r="J33" s="152" t="s">
        <v>18</v>
      </c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>
      <c r="A34" s="171" t="s">
        <v>47</v>
      </c>
      <c r="B34" s="172">
        <v>0.0</v>
      </c>
      <c r="C34" s="172"/>
      <c r="D34" s="173"/>
      <c r="E34" s="174" t="str">
        <f>IF(contas[data]&lt;&gt;"",UPPER(TEXT(contas[data],"mmm")), "")</f>
        <v/>
      </c>
      <c r="F34" s="175">
        <v>25.0</v>
      </c>
      <c r="G34" s="175">
        <v>999.0</v>
      </c>
      <c r="H34" s="176">
        <f>IF(contas[n parc] = 999, contas[valor] *1 - contas[valor pago] , contas[valor]*contas[n parc] - contas[valor pago])
</f>
        <v>0</v>
      </c>
      <c r="I34" s="175">
        <f>IF(contas[valor pago]="",contas[n parc], IF(contas[n parc]=999, 999, IF(AND(contas[n parc]=1,contas[total devido]=0),contas[n parc]-1, IF(AND(contas[n parc]&gt;1, OR(contas[total devido]&lt;&gt;0,contas[total devido]=0)),contas[n parc]-1,contas[n parc]))))</f>
        <v>999</v>
      </c>
      <c r="J34" s="177" t="s">
        <v>37</v>
      </c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</row>
    <row r="35">
      <c r="A35" s="93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</row>
    <row r="36">
      <c r="A36" s="93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</row>
    <row r="37"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</row>
    <row r="39"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</row>
    <row r="40"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</row>
    <row r="41"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</row>
    <row r="43"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</row>
    <row r="44"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</row>
    <row r="45"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>
      <c r="C48" s="93"/>
      <c r="D48" s="93"/>
      <c r="E48" s="93"/>
      <c r="F48" s="93"/>
      <c r="G48" s="93"/>
      <c r="H48" s="93"/>
      <c r="I48" s="93"/>
      <c r="J48" s="93"/>
      <c r="K48" s="93"/>
    </row>
    <row r="49">
      <c r="C49" s="93"/>
      <c r="D49" s="93"/>
      <c r="E49" s="93"/>
      <c r="F49" s="93"/>
      <c r="G49" s="93"/>
      <c r="H49" s="93"/>
      <c r="I49" s="93"/>
      <c r="J49" s="93"/>
    </row>
    <row r="50">
      <c r="C50" s="93"/>
      <c r="D50" s="93"/>
      <c r="E50" s="93"/>
      <c r="F50" s="93"/>
      <c r="G50" s="93"/>
      <c r="H50" s="93"/>
      <c r="I50" s="93"/>
      <c r="J50" s="93"/>
    </row>
    <row r="51">
      <c r="A51" s="93"/>
      <c r="B51" s="93"/>
      <c r="C51" s="93"/>
      <c r="D51" s="93"/>
      <c r="E51" s="93"/>
      <c r="F51" s="93"/>
      <c r="G51" s="93"/>
      <c r="H51" s="93"/>
      <c r="I51" s="93"/>
      <c r="J51" s="93"/>
    </row>
  </sheetData>
  <conditionalFormatting sqref="C1:C40">
    <cfRule type="notContainsBlanks" dxfId="0" priority="1">
      <formula>LEN(TRIM(C1))&gt;0</formula>
    </cfRule>
  </conditionalFormatting>
  <dataValidations>
    <dataValidation type="list" allowBlank="1" sqref="J2:J34">
      <formula1>"debito,cartao,a pagar,pagamento,investimento"</formula1>
    </dataValidation>
    <dataValidation type="custom" allowBlank="1" showDropDown="1" sqref="D2:D34">
      <formula1>OR(NOT(ISERROR(DATEVALUE(D2))), AND(ISNUMBER(D2), LEFT(CELL("format", D2))="D"))</formula1>
    </dataValidation>
    <dataValidation type="custom" allowBlank="1" showDropDown="1" sqref="M2:M14 B2:C34 F2:I34">
      <formula1>AND(ISNUMBER(B2),(NOT(OR(NOT(ISERROR(DATEVALUE(B2))), AND(ISNUMBER(B2), LEFT(CELL("format", B2))="D")))))</formula1>
    </dataValidation>
  </dataValidations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7.88"/>
    <col customWidth="1" min="2" max="2" width="12.75"/>
    <col customWidth="1" min="3" max="3" width="12.5"/>
    <col customWidth="1" min="4" max="4" width="12.38"/>
    <col customWidth="1" min="5" max="5" width="9.0"/>
    <col customWidth="1" min="6" max="6" width="10.75"/>
    <col customWidth="1" min="7" max="7" width="9.0"/>
    <col customWidth="1" min="8" max="8" width="13.13"/>
    <col customWidth="1" min="9" max="9" width="9.63"/>
    <col customWidth="1" min="10" max="10" width="14.63"/>
    <col customWidth="1" min="11" max="11" width="5.75"/>
    <col customWidth="1" min="12" max="12" width="14.88"/>
    <col customWidth="1" min="13" max="13" width="17.5"/>
  </cols>
  <sheetData>
    <row r="1">
      <c r="A1" s="132" t="s">
        <v>0</v>
      </c>
      <c r="B1" s="133" t="s">
        <v>1</v>
      </c>
      <c r="C1" s="134" t="s">
        <v>2</v>
      </c>
      <c r="D1" s="133" t="s">
        <v>3</v>
      </c>
      <c r="E1" s="133" t="s">
        <v>4</v>
      </c>
      <c r="F1" s="133" t="s">
        <v>5</v>
      </c>
      <c r="G1" s="133" t="s">
        <v>6</v>
      </c>
      <c r="H1" s="133" t="s">
        <v>7</v>
      </c>
      <c r="I1" s="133" t="s">
        <v>8</v>
      </c>
      <c r="J1" s="135" t="s">
        <v>9</v>
      </c>
      <c r="K1" s="93"/>
      <c r="L1" s="9" t="s">
        <v>10</v>
      </c>
      <c r="M1" s="10" t="s">
        <v>11</v>
      </c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>
      <c r="A2" s="136" t="s">
        <v>31</v>
      </c>
      <c r="B2" s="153">
        <f t="shared" ref="B2:C2" si="1">151.69+298</f>
        <v>449.69</v>
      </c>
      <c r="C2" s="138">
        <f t="shared" si="1"/>
        <v>449.69</v>
      </c>
      <c r="D2" s="139">
        <v>45777.0</v>
      </c>
      <c r="E2" s="140" t="str">
        <f>IF(contas_2[data]&lt;&gt;"",UPPER(TEXT(contas_2[data],"mmm")), "")</f>
        <v>ABR.</v>
      </c>
      <c r="F2" s="141">
        <v>1.0</v>
      </c>
      <c r="G2" s="141">
        <v>999.0</v>
      </c>
      <c r="H2" s="142">
        <f>IF(contas_2[n parc] = 999, contas_2[valor] *1 - contas_2[valor pago] , contas_2[valor]*contas_2[n parc] - contas_2[valor pago])
</f>
        <v>0</v>
      </c>
      <c r="I2" s="143">
        <f>IF(contas_2[valor pago]="",contas_2[n parc], IF(contas_2[n parc]=999, 999, IF(AND(contas_2[n parc]=1,contas_2[total devido]=0),contas_2[n parc]-1, IF(AND(contas_2[n parc]&gt;1, OR(contas_2[total devido]&lt;&gt;0,contas_2[total devido]=0)),contas_2[n parc]-1,contas_2[n parc]))))</f>
        <v>999</v>
      </c>
      <c r="J2" s="144" t="s">
        <v>79</v>
      </c>
      <c r="K2" s="93"/>
      <c r="L2" s="20" t="s">
        <v>14</v>
      </c>
      <c r="M2" s="21">
        <f>SUM(contas_2[valor])-SUMIF(contas_2[pago em], "cartao", contas_2[valor])-SUMIF(contas_2[pago em], "pagamento", contas_2[valor])</f>
        <v>5578.44</v>
      </c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>
      <c r="A3" s="154" t="s">
        <v>22</v>
      </c>
      <c r="B3" s="155">
        <v>22.1</v>
      </c>
      <c r="C3" s="138">
        <v>22.1</v>
      </c>
      <c r="D3" s="147">
        <v>45778.0</v>
      </c>
      <c r="E3" s="158" t="str">
        <f>IF(contas_2[data]&lt;&gt;"",UPPER(TEXT(contas_2[data],"mmm")), "")</f>
        <v>MAI.</v>
      </c>
      <c r="F3" s="151">
        <v>1.0</v>
      </c>
      <c r="G3" s="151">
        <v>999.0</v>
      </c>
      <c r="H3" s="150">
        <f>IF(contas_2[n parc] = 999, contas_2[valor] *1 - contas_2[valor pago] , contas_2[valor]*contas_2[n parc] - contas_2[valor pago])
</f>
        <v>0</v>
      </c>
      <c r="I3" s="151">
        <f>IF(contas_2[valor pago]="",contas_2[n parc], IF(contas_2[n parc]=999, 999, IF(AND(contas_2[n parc]=1,contas_2[total devido]=0),contas_2[n parc]-1, IF(AND(contas_2[n parc]&gt;1, OR(contas_2[total devido]&lt;&gt;0,contas_2[total devido]=0)),contas_2[n parc]-1,contas_2[n parc]))))</f>
        <v>999</v>
      </c>
      <c r="J3" s="152" t="s">
        <v>18</v>
      </c>
      <c r="K3" s="93"/>
      <c r="L3" s="31" t="s">
        <v>16</v>
      </c>
      <c r="M3" s="32">
        <f>(SUM(contas_2[valor])-SUMIF(contas_2[pago em], "cartao", contas_2[valor])-SUMIF(contas_2[pago em], "pagamento", contas_2[valor]))-(SUM(contas_2[valor pago])-SUMIF(contas_2[pago em], "cartao", contas_2[valor])-SUMIF(contas_2[pago em], "pagamento", contas_2[valor]))</f>
        <v>1243.05</v>
      </c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>
      <c r="A4" s="159" t="s">
        <v>17</v>
      </c>
      <c r="B4" s="168">
        <v>81.49</v>
      </c>
      <c r="C4" s="138">
        <v>81.49</v>
      </c>
      <c r="D4" s="139">
        <v>45777.0</v>
      </c>
      <c r="E4" s="164" t="str">
        <f>IF(contas_2[data]&lt;&gt;"",UPPER(TEXT(contas_2[data],"mmm")), "")</f>
        <v>ABR.</v>
      </c>
      <c r="F4" s="143">
        <v>1.0</v>
      </c>
      <c r="G4" s="143">
        <v>999.0</v>
      </c>
      <c r="H4" s="142">
        <f>IF(contas_2[n parc] = 999, contas_2[valor] *1 - contas_2[valor pago] , contas_2[valor]*contas_2[n parc] - contas_2[valor pago])
</f>
        <v>0</v>
      </c>
      <c r="I4" s="143">
        <f>IF(contas_2[valor pago]="",contas_2[n parc], IF(contas_2[n parc]=999, 999, IF(AND(contas_2[n parc]=1,contas_2[total devido]=0),contas_2[n parc]-1, IF(AND(contas_2[n parc]&gt;1, OR(contas_2[total devido]&lt;&gt;0,contas_2[total devido]=0)),contas_2[n parc]-1,contas_2[n parc]))))</f>
        <v>999</v>
      </c>
      <c r="J4" s="144" t="s">
        <v>18</v>
      </c>
      <c r="K4" s="93"/>
      <c r="L4" s="20" t="s">
        <v>19</v>
      </c>
      <c r="M4" s="21">
        <f>SUMIF(contas_2[pago em], "pagamento", contas_2[valor])</f>
        <v>4498.87</v>
      </c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>
      <c r="A5" s="145" t="s">
        <v>82</v>
      </c>
      <c r="B5" s="146">
        <v>60.0</v>
      </c>
      <c r="C5" s="138">
        <v>60.0</v>
      </c>
      <c r="D5" s="147">
        <v>45777.0</v>
      </c>
      <c r="E5" s="148" t="str">
        <f>IF(contas_2[data]&lt;&gt;"",UPPER(TEXT(contas_2[data],"mmm")), "")</f>
        <v>ABR.</v>
      </c>
      <c r="F5" s="149">
        <v>1.0</v>
      </c>
      <c r="G5" s="149">
        <v>1.0</v>
      </c>
      <c r="H5" s="150">
        <f>IF(contas_2[n parc] = 999, contas_2[valor] *1 - contas_2[valor pago] , contas_2[valor]*contas_2[n parc] - contas_2[valor pago])
</f>
        <v>0</v>
      </c>
      <c r="I5" s="151">
        <f>IF(contas_2[valor pago]="",contas_2[n parc], IF(contas_2[n parc]=999, 999, IF(AND(contas_2[n parc]=1,contas_2[total devido]=0),contas_2[n parc]-1, IF(AND(contas_2[n parc]&gt;1, OR(contas_2[total devido]&lt;&gt;0,contas_2[total devido]=0)),contas_2[n parc]-1,contas_2[n parc]))))</f>
        <v>0</v>
      </c>
      <c r="J5" s="152" t="s">
        <v>13</v>
      </c>
      <c r="K5" s="93"/>
      <c r="L5" s="31" t="s">
        <v>21</v>
      </c>
      <c r="M5" s="37">
        <f>SUM(contas_2[total devido])</f>
        <v>13996.33</v>
      </c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>
      <c r="A6" s="159" t="s">
        <v>76</v>
      </c>
      <c r="B6" s="168">
        <v>0.0</v>
      </c>
      <c r="C6" s="160"/>
      <c r="D6" s="161"/>
      <c r="E6" s="164" t="str">
        <f>IF(contas_2[data]&lt;&gt;"",UPPER(TEXT(contas_2[data],"mmm")), "")</f>
        <v/>
      </c>
      <c r="F6" s="143">
        <v>1.0</v>
      </c>
      <c r="G6" s="143">
        <v>999.0</v>
      </c>
      <c r="H6" s="142">
        <f>IF(contas_2[n parc] = 999, contas_2[valor] *1 - contas_2[valor pago] , contas_2[valor]*contas_2[n parc] - contas_2[valor pago])
</f>
        <v>0</v>
      </c>
      <c r="I6" s="143">
        <f>IF(contas_2[valor pago]="",contas_2[n parc], IF(contas_2[n parc]=999, 999, IF(AND(contas_2[n parc]=1,contas_2[total devido]=0),contas_2[n parc]-1, IF(AND(contas_2[n parc]&gt;1, OR(contas_2[total devido]&lt;&gt;0,contas_2[total devido]=0)),contas_2[n parc]-1,contas_2[n parc]))))</f>
        <v>999</v>
      </c>
      <c r="J6" s="144" t="s">
        <v>37</v>
      </c>
      <c r="K6" s="93"/>
      <c r="L6" s="20" t="s">
        <v>23</v>
      </c>
      <c r="M6" s="21">
        <f>IF(SUMIF(contas_2[pago em], "debito",contas_2[valor pago]) &gt; ((SUMIF(contas_2[pago em], "pagamento", contas_2[valor]))-(SUMIF(contas_2[pago em], "investimento", contas_2[valor]))), -(SUMIF(contas_2[pago em], "debito",contas_2[valor pago]) - ((SUMIF(contas_2[pago em], "pagamento", contas_2[valor]))-(SUMIF(contas_2[pago em], "investimento", contas_2[valor])))), ((SUMIF(contas_2[pago em], "pagamento", contas_2[valor]))-(SUMIF(contas_2[pago em], "investimento", contas_2[valor]))) - SUMIF(contas_2[pago em], "debito",contas_2[valor pago]))</f>
        <v>163.48</v>
      </c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>
      <c r="A7" s="154" t="s">
        <v>65</v>
      </c>
      <c r="B7" s="155">
        <v>312.85</v>
      </c>
      <c r="C7" s="138">
        <v>312.85</v>
      </c>
      <c r="D7" s="147">
        <v>45777.0</v>
      </c>
      <c r="E7" s="148" t="str">
        <f>IF(contas_2[data]&lt;&gt;"",UPPER(TEXT(contas_2[data],"mmm")), "")</f>
        <v>ABR.</v>
      </c>
      <c r="F7" s="151">
        <v>1.0</v>
      </c>
      <c r="G7" s="149">
        <v>4.0</v>
      </c>
      <c r="H7" s="150">
        <f>IF(contas_2[n parc] = 999, contas_2[valor] *1 - contas_2[valor pago] , contas_2[valor]*contas_2[n parc] - contas_2[valor pago])
</f>
        <v>938.55</v>
      </c>
      <c r="I7" s="151">
        <f>IF(contas_2[valor pago]="",contas_2[n parc], IF(contas_2[n parc]=999, 999, IF(AND(contas_2[n parc]=1,contas_2[total devido]=0),contas_2[n parc]-1, IF(AND(contas_2[n parc]&gt;1, OR(contas_2[total devido]&lt;&gt;0,contas_2[total devido]=0)),contas_2[n parc]-1,contas_2[n parc]))))</f>
        <v>3</v>
      </c>
      <c r="J7" s="163" t="s">
        <v>13</v>
      </c>
      <c r="K7" s="93"/>
      <c r="L7" s="31" t="s">
        <v>25</v>
      </c>
      <c r="M7" s="32">
        <f>SUM(contas_2[valor pago])-SUMIF(contas_2[pago em], "cartao", contas_2[valor])-SUMIF(contas_2[pago em], "pagamento", contas_2[valor])</f>
        <v>4335.39</v>
      </c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>
      <c r="A8" s="136" t="s">
        <v>15</v>
      </c>
      <c r="B8" s="153">
        <v>1516.87</v>
      </c>
      <c r="C8" s="138">
        <v>1516.87</v>
      </c>
      <c r="D8" s="139">
        <v>45777.0</v>
      </c>
      <c r="E8" s="140" t="str">
        <f>IF(contas_2[data]&lt;&gt;"",UPPER(TEXT(contas_2[data],"mmm")), "")</f>
        <v>ABR.</v>
      </c>
      <c r="F8" s="141">
        <v>1.0</v>
      </c>
      <c r="G8" s="141">
        <v>999.0</v>
      </c>
      <c r="H8" s="142">
        <f>IF(contas_2[n parc] = 999, contas_2[valor] *1 - contas_2[valor pago] , contas_2[valor]*contas_2[n parc] - contas_2[valor pago])
</f>
        <v>0</v>
      </c>
      <c r="I8" s="143">
        <f>IF(contas_2[valor pago]="",contas_2[n parc], IF(contas_2[n parc]=999, 999, IF(AND(contas_2[n parc]=1,contas_2[total devido]=0),contas_2[n parc]-1, IF(AND(contas_2[n parc]&gt;1, OR(contas_2[total devido]&lt;&gt;0,contas_2[total devido]=0)),contas_2[n parc]-1,contas_2[n parc]))))</f>
        <v>999</v>
      </c>
      <c r="J8" s="144" t="s">
        <v>15</v>
      </c>
      <c r="K8" s="93"/>
      <c r="L8" s="40" t="s">
        <v>27</v>
      </c>
      <c r="M8" s="21">
        <f>SUMIF(contas_2[pago em], "cartao", contas_2[valor])</f>
        <v>1132.29</v>
      </c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>
      <c r="A9" s="154" t="s">
        <v>59</v>
      </c>
      <c r="B9" s="155">
        <f t="shared" ref="B9:C9" si="2">199.24+69.59</f>
        <v>268.83</v>
      </c>
      <c r="C9" s="156">
        <f t="shared" si="2"/>
        <v>268.83</v>
      </c>
      <c r="D9" s="147">
        <v>45777.0</v>
      </c>
      <c r="E9" s="148" t="str">
        <f>IF(contas_2[data]&lt;&gt;"",UPPER(TEXT(contas_2[data],"mmm")), "")</f>
        <v>ABR.</v>
      </c>
      <c r="F9" s="149">
        <v>1.0</v>
      </c>
      <c r="G9" s="149">
        <v>999.0</v>
      </c>
      <c r="H9" s="150">
        <f>IF(contas_2[n parc] = 999, contas_2[valor] *1 - contas_2[valor pago] , contas_2[valor]*contas_2[n parc] - contas_2[valor pago])
</f>
        <v>0</v>
      </c>
      <c r="I9" s="151">
        <f>IF(contas_2[valor pago]="",contas_2[n parc], IF(contas_2[n parc]=999, 999, IF(AND(contas_2[n parc]=1,contas_2[total devido]=0),contas_2[n parc]-1, IF(AND(contas_2[n parc]&gt;1, OR(contas_2[total devido]&lt;&gt;0,contas_2[total devido]=0)),contas_2[n parc]-1,contas_2[n parc]))))</f>
        <v>999</v>
      </c>
      <c r="J9" s="163" t="s">
        <v>13</v>
      </c>
      <c r="K9" s="93"/>
      <c r="L9" s="31" t="s">
        <v>29</v>
      </c>
      <c r="M9" s="32">
        <f>SUMIF(contas_2[pago em], "pagamento", contas_2[valor])*10%</f>
        <v>449.887</v>
      </c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>
      <c r="A10" s="159" t="s">
        <v>24</v>
      </c>
      <c r="B10" s="168">
        <v>234.3</v>
      </c>
      <c r="C10" s="138">
        <v>234.3</v>
      </c>
      <c r="D10" s="139">
        <v>45777.0</v>
      </c>
      <c r="E10" s="164" t="str">
        <f>IF(contas_2[data]&lt;&gt;"",UPPER(TEXT(contas_2[data],"mmm")), "")</f>
        <v>ABR.</v>
      </c>
      <c r="F10" s="141">
        <v>2.0</v>
      </c>
      <c r="G10" s="143">
        <v>999.0</v>
      </c>
      <c r="H10" s="142">
        <f>IF(contas_2[n parc] = 999, contas_2[valor] *1 - contas_2[valor pago] , contas_2[valor]*contas_2[n parc] - contas_2[valor pago])
</f>
        <v>0</v>
      </c>
      <c r="I10" s="143">
        <f>IF(contas_2[valor pago]="",contas_2[n parc], IF(contas_2[n parc]=999, 999, IF(AND(contas_2[n parc]=1,contas_2[total devido]=0),contas_2[n parc]-1, IF(AND(contas_2[n parc]&gt;1, OR(contas_2[total devido]&lt;&gt;0,contas_2[total devido]=0)),contas_2[n parc]-1,contas_2[n parc]))))</f>
        <v>999</v>
      </c>
      <c r="J10" s="162" t="s">
        <v>13</v>
      </c>
      <c r="K10" s="93"/>
      <c r="L10" s="20" t="s">
        <v>31</v>
      </c>
      <c r="M10" s="21">
        <f>SUMIF(contas_2[pago em], "investimento", contas_2[valor])</f>
        <v>449.69</v>
      </c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</row>
    <row r="11">
      <c r="A11" s="154" t="s">
        <v>67</v>
      </c>
      <c r="B11" s="155">
        <v>39.75</v>
      </c>
      <c r="C11" s="138">
        <v>39.75</v>
      </c>
      <c r="D11" s="147">
        <v>45781.0</v>
      </c>
      <c r="E11" s="148" t="str">
        <f>IF(contas_2[data]&lt;&gt;"",UPPER(TEXT(contas_2[data],"mmm")), "")</f>
        <v>MAI.</v>
      </c>
      <c r="F11" s="151">
        <v>4.0</v>
      </c>
      <c r="G11" s="149">
        <v>11.0</v>
      </c>
      <c r="H11" s="150">
        <f>IF(contas_2[n parc] = 999, contas_2[valor] *1 - contas_2[valor pago] , contas_2[valor]*contas_2[n parc] - contas_2[valor pago])
</f>
        <v>397.5</v>
      </c>
      <c r="I11" s="151">
        <f>IF(contas_2[valor pago]="",contas_2[n parc], IF(contas_2[n parc]=999, 999, IF(AND(contas_2[n parc]=1,contas_2[total devido]=0),contas_2[n parc]-1, IF(AND(contas_2[n parc]&gt;1, OR(contas_2[total devido]&lt;&gt;0,contas_2[total devido]=0)),contas_2[n parc]-1,contas_2[n parc]))))</f>
        <v>10</v>
      </c>
      <c r="J11" s="152" t="s">
        <v>18</v>
      </c>
      <c r="K11" s="93"/>
      <c r="L11" s="31" t="s">
        <v>33</v>
      </c>
      <c r="M11" s="48">
        <v>1917.0</v>
      </c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>
      <c r="A12" s="159" t="s">
        <v>26</v>
      </c>
      <c r="B12" s="168">
        <v>110.0</v>
      </c>
      <c r="C12" s="138">
        <v>110.0</v>
      </c>
      <c r="D12" s="139">
        <v>45786.0</v>
      </c>
      <c r="E12" s="164" t="str">
        <f>IF(contas_2[data]&lt;&gt;"",UPPER(TEXT(contas_2[data],"mmm")), "")</f>
        <v>MAI.</v>
      </c>
      <c r="F12" s="143">
        <v>4.0</v>
      </c>
      <c r="G12" s="141">
        <v>999.0</v>
      </c>
      <c r="H12" s="142">
        <f>IF(contas_2[n parc] = 999, contas_2[valor] *1 - contas_2[valor pago] , contas_2[valor]*contas_2[n parc] - contas_2[valor pago])
</f>
        <v>0</v>
      </c>
      <c r="I12" s="143">
        <f>IF(contas_2[valor pago]="",contas_2[n parc], IF(contas_2[n parc]=999, 999, IF(AND(contas_2[n parc]=1,contas_2[total devido]=0),contas_2[n parc]-1, IF(AND(contas_2[n parc]&gt;1, OR(contas_2[total devido]&lt;&gt;0,contas_2[total devido]=0)),contas_2[n parc]-1,contas_2[n parc]))))</f>
        <v>999</v>
      </c>
      <c r="J12" s="144" t="s">
        <v>18</v>
      </c>
      <c r="K12" s="93"/>
      <c r="L12" s="49" t="s">
        <v>35</v>
      </c>
      <c r="M12" s="21">
        <f>600+317</f>
        <v>917</v>
      </c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>
      <c r="A13" s="154" t="s">
        <v>52</v>
      </c>
      <c r="B13" s="155">
        <v>338.94</v>
      </c>
      <c r="C13" s="138">
        <v>338.94</v>
      </c>
      <c r="D13" s="147">
        <v>45777.0</v>
      </c>
      <c r="E13" s="148" t="str">
        <f>IF(contas_2[data]&lt;&gt;"",UPPER(TEXT(contas_2[data],"mmm")), "")</f>
        <v>ABR.</v>
      </c>
      <c r="F13" s="151">
        <v>9.0</v>
      </c>
      <c r="G13" s="149">
        <v>12.0</v>
      </c>
      <c r="H13" s="150">
        <f>IF(contas_2[n parc] = 999, contas_2[valor] *1 - contas_2[valor pago] , contas_2[valor]*contas_2[n parc] - contas_2[valor pago])
</f>
        <v>3728.34</v>
      </c>
      <c r="I13" s="151">
        <f>IF(contas_2[valor pago]="",contas_2[n parc], IF(contas_2[n parc]=999, 999, IF(AND(contas_2[n parc]=1,contas_2[total devido]=0),contas_2[n parc]-1, IF(AND(contas_2[n parc]&gt;1, OR(contas_2[total devido]&lt;&gt;0,contas_2[total devido]=0)),contas_2[n parc]-1,contas_2[n parc]))))</f>
        <v>11</v>
      </c>
      <c r="J13" s="163" t="s">
        <v>13</v>
      </c>
      <c r="K13" s="93"/>
      <c r="L13" s="165" t="s">
        <v>38</v>
      </c>
      <c r="M13" s="32">
        <v>1000.0</v>
      </c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>
      <c r="A14" s="159" t="s">
        <v>34</v>
      </c>
      <c r="B14" s="168">
        <v>189.0</v>
      </c>
      <c r="C14" s="138">
        <v>189.0</v>
      </c>
      <c r="D14" s="139">
        <v>45792.0</v>
      </c>
      <c r="E14" s="164" t="str">
        <f>IF(contas_2[data]&lt;&gt;"",UPPER(TEXT(contas_2[data],"mmm")), "")</f>
        <v>MAI.</v>
      </c>
      <c r="F14" s="143">
        <v>10.0</v>
      </c>
      <c r="G14" s="143">
        <v>999.0</v>
      </c>
      <c r="H14" s="142">
        <f>IF(contas_2[n parc] = 999, contas_2[valor] *1 - contas_2[valor pago] , contas_2[valor]*contas_2[n parc] - contas_2[valor pago])
</f>
        <v>0</v>
      </c>
      <c r="I14" s="143">
        <f>IF(contas_2[valor pago]="",contas_2[n parc], IF(contas_2[n parc]=999, 999, IF(AND(contas_2[n parc]=1,contas_2[total devido]=0),contas_2[n parc]-1, IF(AND(contas_2[n parc]&gt;1, OR(contas_2[total devido]&lt;&gt;0,contas_2[total devido]=0)),contas_2[n parc]-1,contas_2[n parc]))))</f>
        <v>999</v>
      </c>
      <c r="J14" s="144" t="s">
        <v>13</v>
      </c>
      <c r="K14" s="93"/>
      <c r="L14" s="178" t="s">
        <v>80</v>
      </c>
      <c r="M14" s="167">
        <f>SUMIF(contas_2[n parc], "999", contas_2[valor])-SUMIF(contas_2[pago em], "pagamento", contas_2[valor])</f>
        <v>3545.01</v>
      </c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>
      <c r="A15" s="145" t="s">
        <v>83</v>
      </c>
      <c r="B15" s="146">
        <v>389.05</v>
      </c>
      <c r="C15" s="138">
        <v>389.05</v>
      </c>
      <c r="D15" s="147">
        <v>45792.0</v>
      </c>
      <c r="E15" s="148" t="str">
        <f>IF(contas_2[data]&lt;&gt;"",UPPER(TEXT(contas_2[data],"mmm")), "")</f>
        <v>MAI.</v>
      </c>
      <c r="F15" s="151">
        <v>10.0</v>
      </c>
      <c r="G15" s="149">
        <v>2.0</v>
      </c>
      <c r="H15" s="150">
        <f>IF(contas_2[n parc] = 999, contas_2[valor] *1 - contas_2[valor pago] , contas_2[valor]*contas_2[n parc] - contas_2[valor pago])
</f>
        <v>389.05</v>
      </c>
      <c r="I15" s="151">
        <f>IF(contas_2[valor pago]="",contas_2[n parc], IF(contas_2[n parc]=999, 999, IF(AND(contas_2[n parc]=1,contas_2[total devido]=0),contas_2[n parc]-1, IF(AND(contas_2[n parc]&gt;1, OR(contas_2[total devido]&lt;&gt;0,contas_2[total devido]=0)),contas_2[n parc]-1,contas_2[n parc]))))</f>
        <v>1</v>
      </c>
      <c r="J15" s="152" t="s">
        <v>18</v>
      </c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>
      <c r="A16" s="159" t="s">
        <v>36</v>
      </c>
      <c r="B16" s="168">
        <v>390.5</v>
      </c>
      <c r="C16" s="138">
        <v>0.0</v>
      </c>
      <c r="D16" s="161"/>
      <c r="E16" s="164" t="str">
        <f>IF(contas_2[data]&lt;&gt;"",UPPER(TEXT(contas_2[data],"mmm")), "")</f>
        <v/>
      </c>
      <c r="F16" s="143">
        <v>13.0</v>
      </c>
      <c r="G16" s="143">
        <v>999.0</v>
      </c>
      <c r="H16" s="142">
        <f>IF(contas_2[n parc] = 999, contas_2[valor] *1 - contas_2[valor pago] , contas_2[valor]*contas_2[n parc] - contas_2[valor pago])
</f>
        <v>390.5</v>
      </c>
      <c r="I16" s="143">
        <f>IF(contas_2[valor pago]="",contas_2[n parc], IF(contas_2[n parc]=999, 999, IF(AND(contas_2[n parc]=1,contas_2[total devido]=0),contas_2[n parc]-1, IF(AND(contas_2[n parc]&gt;1, OR(contas_2[total devido]&lt;&gt;0,contas_2[total devido]=0)),contas_2[n parc]-1,contas_2[n parc]))))</f>
        <v>999</v>
      </c>
      <c r="J16" s="144" t="s">
        <v>37</v>
      </c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>
      <c r="A17" s="145" t="s">
        <v>84</v>
      </c>
      <c r="B17" s="146">
        <v>2982.0</v>
      </c>
      <c r="C17" s="138">
        <v>2982.0</v>
      </c>
      <c r="D17" s="147">
        <v>45792.0</v>
      </c>
      <c r="E17" s="148" t="str">
        <f>IF(contas_2[data]&lt;&gt;"",UPPER(TEXT(contas_2[data],"mmm")), "")</f>
        <v>MAI.</v>
      </c>
      <c r="F17" s="149">
        <v>15.0</v>
      </c>
      <c r="G17" s="149">
        <v>999.0</v>
      </c>
      <c r="H17" s="150">
        <f>IF(contas_2[n parc] = 999, contas_2[valor] *1 - contas_2[valor pago] , contas_2[valor]*contas_2[n parc] - contas_2[valor pago])
</f>
        <v>0</v>
      </c>
      <c r="I17" s="151">
        <f>IF(contas_2[valor pago]="",contas_2[n parc], IF(contas_2[n parc]=999, 999, IF(AND(contas_2[n parc]=1,contas_2[total devido]=0),contas_2[n parc]-1, IF(AND(contas_2[n parc]&gt;1, OR(contas_2[total devido]&lt;&gt;0,contas_2[total devido]=0)),contas_2[n parc]-1,contas_2[n parc]))))</f>
        <v>999</v>
      </c>
      <c r="J17" s="152" t="s">
        <v>15</v>
      </c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>
      <c r="A18" s="159" t="s">
        <v>40</v>
      </c>
      <c r="B18" s="168">
        <v>200.0</v>
      </c>
      <c r="C18" s="160"/>
      <c r="D18" s="161"/>
      <c r="E18" s="164" t="str">
        <f>IF(contas_2[data]&lt;&gt;"",UPPER(TEXT(contas_2[data],"mmm")), "")</f>
        <v/>
      </c>
      <c r="F18" s="143">
        <v>15.0</v>
      </c>
      <c r="G18" s="143">
        <v>999.0</v>
      </c>
      <c r="H18" s="142">
        <f>IF(contas_2[n parc] = 999, contas_2[valor] *1 - contas_2[valor pago] , contas_2[valor]*contas_2[n parc] - contas_2[valor pago])
</f>
        <v>200</v>
      </c>
      <c r="I18" s="143">
        <f>IF(contas_2[valor pago]="",contas_2[n parc], IF(contas_2[n parc]=999, 999, IF(AND(contas_2[n parc]=1,contas_2[total devido]=0),contas_2[n parc]-1, IF(AND(contas_2[n parc]&gt;1, OR(contas_2[total devido]&lt;&gt;0,contas_2[total devido]=0)),contas_2[n parc]-1,contas_2[n parc]))))</f>
        <v>999</v>
      </c>
      <c r="J18" s="144" t="s">
        <v>37</v>
      </c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>
      <c r="A19" s="145" t="s">
        <v>85</v>
      </c>
      <c r="B19" s="146">
        <v>210.0</v>
      </c>
      <c r="C19" s="138">
        <v>210.0</v>
      </c>
      <c r="D19" s="147">
        <v>45792.0</v>
      </c>
      <c r="E19" s="148" t="str">
        <f>IF(contas_2[data]&lt;&gt;"",UPPER(TEXT(contas_2[data],"mmm")), "")</f>
        <v>MAI.</v>
      </c>
      <c r="F19" s="151">
        <v>15.0</v>
      </c>
      <c r="G19" s="149">
        <v>8.0</v>
      </c>
      <c r="H19" s="150">
        <f>IF(contas_2[n parc] = 999, contas_2[valor] *1 - contas_2[valor pago] , contas_2[valor]*contas_2[n parc] - contas_2[valor pago])
</f>
        <v>1470</v>
      </c>
      <c r="I19" s="151">
        <f>IF(contas_2[valor pago]="",contas_2[n parc], IF(contas_2[n parc]=999, 999, IF(AND(contas_2[n parc]=1,contas_2[total devido]=0),contas_2[n parc]-1, IF(AND(contas_2[n parc]&gt;1, OR(contas_2[total devido]&lt;&gt;0,contas_2[total devido]=0)),contas_2[n parc]-1,contas_2[n parc]))))</f>
        <v>7</v>
      </c>
      <c r="J19" s="152" t="s">
        <v>18</v>
      </c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>
      <c r="A20" s="159" t="s">
        <v>53</v>
      </c>
      <c r="B20" s="168">
        <v>563.79</v>
      </c>
      <c r="C20" s="138">
        <v>563.79</v>
      </c>
      <c r="D20" s="139">
        <v>45792.0</v>
      </c>
      <c r="E20" s="164" t="str">
        <f>IF(contas_2[data]&lt;&gt;"",UPPER(TEXT(contas_2[data],"mmm")), "")</f>
        <v>MAI.</v>
      </c>
      <c r="F20" s="143">
        <v>15.0</v>
      </c>
      <c r="G20" s="141">
        <v>4.0</v>
      </c>
      <c r="H20" s="142">
        <f>IF(contas_2[n parc] = 999, contas_2[valor] *1 - contas_2[valor pago] , contas_2[valor]*contas_2[n parc] - contas_2[valor pago])
</f>
        <v>1691.37</v>
      </c>
      <c r="I20" s="143">
        <f>IF(contas_2[valor pago]="",contas_2[n parc], IF(contas_2[n parc]=999, 999, IF(AND(contas_2[n parc]=1,contas_2[total devido]=0),contas_2[n parc]-1, IF(AND(contas_2[n parc]&gt;1, OR(contas_2[total devido]&lt;&gt;0,contas_2[total devido]=0)),contas_2[n parc]-1,contas_2[n parc]))))</f>
        <v>3</v>
      </c>
      <c r="J20" s="144" t="s">
        <v>13</v>
      </c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>
      <c r="A21" s="154" t="s">
        <v>43</v>
      </c>
      <c r="B21" s="155">
        <v>250.8</v>
      </c>
      <c r="C21" s="138">
        <v>280.8</v>
      </c>
      <c r="D21" s="147">
        <v>45792.0</v>
      </c>
      <c r="E21" s="148" t="str">
        <f>IF(contas_2[data]&lt;&gt;"",UPPER(TEXT(contas_2[data],"mmm")), "")</f>
        <v>MAI.</v>
      </c>
      <c r="F21" s="151">
        <v>16.0</v>
      </c>
      <c r="G21" s="149">
        <v>7.0</v>
      </c>
      <c r="H21" s="150">
        <f>IF(contas_2[n parc] = 999, contas_2[valor] *1 - contas_2[valor pago] , contas_2[valor]*contas_2[n parc] - contas_2[valor pago])
</f>
        <v>1474.8</v>
      </c>
      <c r="I21" s="151">
        <f>IF(contas_2[valor pago]="",contas_2[n parc], IF(contas_2[n parc]=999, 999, IF(AND(contas_2[n parc]=1,contas_2[total devido]=0),contas_2[n parc]-1, IF(AND(contas_2[n parc]&gt;1, OR(contas_2[total devido]&lt;&gt;0,contas_2[total devido]=0)),contas_2[n parc]-1,contas_2[n parc]))))</f>
        <v>6</v>
      </c>
      <c r="J21" s="152" t="s">
        <v>13</v>
      </c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>
      <c r="A22" s="159" t="s">
        <v>55</v>
      </c>
      <c r="B22" s="160">
        <v>210.0</v>
      </c>
      <c r="C22" s="138">
        <v>210.0</v>
      </c>
      <c r="D22" s="139">
        <v>45793.0</v>
      </c>
      <c r="E22" s="164" t="str">
        <f>IF(contas_2[data]&lt;&gt;"",UPPER(TEXT(contas_2[data],"mmm")), "")</f>
        <v>MAI.</v>
      </c>
      <c r="F22" s="143">
        <v>16.0</v>
      </c>
      <c r="G22" s="141">
        <v>7.0</v>
      </c>
      <c r="H22" s="142">
        <f>IF(contas_2[n parc] = 999, contas_2[valor] *1 - contas_2[valor pago] , contas_2[valor]*contas_2[n parc] - contas_2[valor pago])
</f>
        <v>1260</v>
      </c>
      <c r="I22" s="143">
        <f>IF(contas_2[valor pago]="",contas_2[n parc], IF(contas_2[n parc]=999, 999, IF(AND(contas_2[n parc]=1,contas_2[total devido]=0),contas_2[n parc]-1, IF(AND(contas_2[n parc]&gt;1, OR(contas_2[total devido]&lt;&gt;0,contas_2[total devido]=0)),contas_2[n parc]-1,contas_2[n parc]))))</f>
        <v>6</v>
      </c>
      <c r="J22" s="144" t="s">
        <v>18</v>
      </c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>
      <c r="A23" s="154" t="s">
        <v>62</v>
      </c>
      <c r="B23" s="146">
        <v>457.89</v>
      </c>
      <c r="C23" s="138">
        <v>457.89</v>
      </c>
      <c r="D23" s="147">
        <v>45792.0</v>
      </c>
      <c r="E23" s="148" t="str">
        <f>IF(contas_2[data]&lt;&gt;"",UPPER(TEXT(contas_2[data],"mmm")), "")</f>
        <v>MAI.</v>
      </c>
      <c r="F23" s="151">
        <v>17.0</v>
      </c>
      <c r="G23" s="149">
        <v>4.0</v>
      </c>
      <c r="H23" s="150">
        <f>IF(contas_2[n parc] = 999, contas_2[valor] *1 - contas_2[valor pago] , contas_2[valor]*contas_2[n parc] - contas_2[valor pago])
</f>
        <v>1373.67</v>
      </c>
      <c r="I23" s="151">
        <f>IF(contas_2[valor pago]="",contas_2[n parc], IF(contas_2[n parc]=999, 999, IF(AND(contas_2[n parc]=1,contas_2[total devido]=0),contas_2[n parc]-1, IF(AND(contas_2[n parc]&gt;1, OR(contas_2[total devido]&lt;&gt;0,contas_2[total devido]=0)),contas_2[n parc]-1,contas_2[n parc]))))</f>
        <v>3</v>
      </c>
      <c r="J23" s="152" t="s">
        <v>13</v>
      </c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>
      <c r="A24" s="159" t="s">
        <v>45</v>
      </c>
      <c r="B24" s="160">
        <v>69.9</v>
      </c>
      <c r="C24" s="138">
        <v>69.9</v>
      </c>
      <c r="D24" s="139">
        <v>45792.0</v>
      </c>
      <c r="E24" s="164" t="str">
        <f>IF(contas_2[data]&lt;&gt;"",UPPER(TEXT(contas_2[data],"mmm")), "")</f>
        <v>MAI.</v>
      </c>
      <c r="F24" s="143">
        <v>20.0</v>
      </c>
      <c r="G24" s="143">
        <v>999.0</v>
      </c>
      <c r="H24" s="142">
        <f>IF(contas_2[n parc] = 999, contas_2[valor] *1 - contas_2[valor pago] , contas_2[valor]*contas_2[n parc] - contas_2[valor pago])
</f>
        <v>0</v>
      </c>
      <c r="I24" s="143">
        <f>IF(contas_2[valor pago]="",contas_2[n parc], IF(contas_2[n parc]=999, 999, IF(AND(contas_2[n parc]=1,contas_2[total devido]=0),contas_2[n parc]-1, IF(AND(contas_2[n parc]&gt;1, OR(contas_2[total devido]&lt;&gt;0,contas_2[total devido]=0)),contas_2[n parc]-1,contas_2[n parc]))))</f>
        <v>999</v>
      </c>
      <c r="J24" s="144" t="s">
        <v>18</v>
      </c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>
      <c r="A25" s="154" t="s">
        <v>46</v>
      </c>
      <c r="B25" s="146">
        <v>846.65</v>
      </c>
      <c r="C25" s="138">
        <v>846.65</v>
      </c>
      <c r="D25" s="147">
        <v>45792.0</v>
      </c>
      <c r="E25" s="148" t="str">
        <f>IF(contas_2[data]&lt;&gt;"",UPPER(TEXT(contas_2[data],"mmm")), "")</f>
        <v>MAI.</v>
      </c>
      <c r="F25" s="151">
        <v>20.0</v>
      </c>
      <c r="G25" s="151">
        <v>999.0</v>
      </c>
      <c r="H25" s="150">
        <f>IF(contas_2[n parc] = 999, contas_2[valor] *1 - contas_2[valor pago] , contas_2[valor]*contas_2[n parc] - contas_2[valor pago])
</f>
        <v>0</v>
      </c>
      <c r="I25" s="151">
        <f>IF(contas_2[valor pago]="",contas_2[n parc], IF(contas_2[n parc]=999, 999, IF(AND(contas_2[n parc]=1,contas_2[total devido]=0),contas_2[n parc]-1, IF(AND(contas_2[n parc]&gt;1, OR(contas_2[total devido]&lt;&gt;0,contas_2[total devido]=0)),contas_2[n parc]-1,contas_2[n parc]))))</f>
        <v>999</v>
      </c>
      <c r="J25" s="152" t="s">
        <v>13</v>
      </c>
      <c r="K25" s="169"/>
      <c r="L25" s="169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>
      <c r="A26" s="159" t="s">
        <v>44</v>
      </c>
      <c r="B26" s="168">
        <v>62.55</v>
      </c>
      <c r="C26" s="168"/>
      <c r="D26" s="139"/>
      <c r="E26" s="164" t="str">
        <f>IF(contas_2[data]&lt;&gt;"",UPPER(TEXT(contas_2[data],"mmm")), "")</f>
        <v/>
      </c>
      <c r="F26" s="143">
        <v>22.0</v>
      </c>
      <c r="G26" s="143">
        <v>999.0</v>
      </c>
      <c r="H26" s="142">
        <f>IF(contas_2[n parc] = 999, contas_2[valor] *1 - contas_2[valor pago] , contas_2[valor]*contas_2[n parc] - contas_2[valor pago])
</f>
        <v>62.55</v>
      </c>
      <c r="I26" s="143">
        <f>IF(contas_2[valor pago]="",contas_2[n parc], IF(contas_2[n parc]=999, 999, IF(AND(contas_2[n parc]=1,contas_2[total devido]=0),contas_2[n parc]-1, IF(AND(contas_2[n parc]&gt;1, OR(contas_2[total devido]&lt;&gt;0,contas_2[total devido]=0)),contas_2[n parc]-1,contas_2[n parc]))))</f>
        <v>999</v>
      </c>
      <c r="J26" s="144" t="s">
        <v>37</v>
      </c>
      <c r="K26" s="169"/>
      <c r="L26" s="170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>
      <c r="A27" s="154" t="s">
        <v>59</v>
      </c>
      <c r="B27" s="146">
        <v>332.65</v>
      </c>
      <c r="C27" s="138">
        <v>332.65</v>
      </c>
      <c r="D27" s="147">
        <v>45792.0</v>
      </c>
      <c r="E27" s="148" t="str">
        <f>IF(contas_2[data]&lt;&gt;"",UPPER(TEXT(contas_2[data],"mmm")), "")</f>
        <v>MAI.</v>
      </c>
      <c r="F27" s="149">
        <v>16.0</v>
      </c>
      <c r="G27" s="149">
        <v>1.0</v>
      </c>
      <c r="H27" s="150">
        <f>IF(contas_2[n parc] = 999, contas_2[valor] *1 - contas_2[valor pago] , contas_2[valor]*contas_2[n parc] - contas_2[valor pago])
</f>
        <v>0</v>
      </c>
      <c r="I27" s="151">
        <f>IF(contas_2[valor pago]="",contas_2[n parc], IF(contas_2[n parc]=999, 999, IF(AND(contas_2[n parc]=1,contas_2[total devido]=0),contas_2[n parc]-1, IF(AND(contas_2[n parc]&gt;1, OR(contas_2[total devido]&lt;&gt;0,contas_2[total devido]=0)),contas_2[n parc]-1,contas_2[n parc]))))</f>
        <v>0</v>
      </c>
      <c r="J27" s="152" t="s">
        <v>13</v>
      </c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>
      <c r="A28" s="171" t="s">
        <v>47</v>
      </c>
      <c r="B28" s="172">
        <v>620.0</v>
      </c>
      <c r="C28" s="179">
        <v>0.0</v>
      </c>
      <c r="D28" s="173"/>
      <c r="E28" s="174" t="str">
        <f>IF(contas_2[data]&lt;&gt;"",UPPER(TEXT(contas_2[data],"mmm")), "")</f>
        <v/>
      </c>
      <c r="F28" s="175">
        <v>25.0</v>
      </c>
      <c r="G28" s="175">
        <v>999.0</v>
      </c>
      <c r="H28" s="176">
        <f>IF(contas_2[n parc] = 999, contas_2[valor] *1 - contas_2[valor pago] , contas_2[valor]*contas_2[n parc] - contas_2[valor pago])
</f>
        <v>620</v>
      </c>
      <c r="I28" s="175">
        <f>IF(contas_2[valor pago]="",contas_2[n parc], IF(contas_2[n parc]=999, 999, IF(AND(contas_2[n parc]=1,contas_2[total devido]=0),contas_2[n parc]-1, IF(AND(contas_2[n parc]&gt;1, OR(contas_2[total devido]&lt;&gt;0,contas_2[total devido]=0)),contas_2[n parc]-1,contas_2[n parc]))))</f>
        <v>999</v>
      </c>
      <c r="J28" s="177" t="s">
        <v>37</v>
      </c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>
      <c r="C30" s="93"/>
      <c r="D30" s="93"/>
      <c r="E30" s="93"/>
      <c r="F30" s="93"/>
      <c r="G30" s="93"/>
      <c r="H30" s="93"/>
      <c r="I30" s="93"/>
      <c r="J30" s="93"/>
      <c r="K30" s="93"/>
    </row>
    <row r="31">
      <c r="C31" s="93"/>
      <c r="D31" s="93"/>
      <c r="E31" s="93"/>
      <c r="F31" s="93"/>
      <c r="G31" s="93"/>
      <c r="H31" s="93"/>
      <c r="I31" s="93"/>
      <c r="J31" s="93"/>
    </row>
    <row r="32">
      <c r="C32" s="93"/>
      <c r="D32" s="93"/>
      <c r="E32" s="93"/>
      <c r="F32" s="93"/>
      <c r="G32" s="93"/>
      <c r="H32" s="93"/>
      <c r="I32" s="93"/>
      <c r="J32" s="93"/>
    </row>
    <row r="33">
      <c r="C33" s="93"/>
      <c r="D33" s="93"/>
      <c r="E33" s="93"/>
      <c r="F33" s="93"/>
      <c r="G33" s="93"/>
      <c r="H33" s="93"/>
      <c r="I33" s="93"/>
      <c r="J33" s="93"/>
    </row>
    <row r="34">
      <c r="C34" s="93"/>
      <c r="D34" s="93"/>
      <c r="E34" s="93"/>
      <c r="F34" s="93"/>
      <c r="G34" s="93"/>
      <c r="H34" s="93"/>
      <c r="I34" s="93"/>
      <c r="J34" s="93"/>
    </row>
    <row r="35">
      <c r="A35" s="93"/>
      <c r="B35" s="93"/>
      <c r="C35" s="93"/>
      <c r="D35" s="93"/>
      <c r="E35" s="93"/>
      <c r="F35" s="93"/>
      <c r="G35" s="93"/>
      <c r="H35" s="93"/>
      <c r="I35" s="93"/>
      <c r="J35" s="93"/>
    </row>
  </sheetData>
  <conditionalFormatting sqref="C1:C28">
    <cfRule type="notContainsBlanks" dxfId="0" priority="1">
      <formula>LEN(TRIM(C1))&gt;0</formula>
    </cfRule>
  </conditionalFormatting>
  <dataValidations>
    <dataValidation type="list" allowBlank="1" sqref="J2:J28">
      <formula1>"debito,cartao,a pagar,pagamento,investimento"</formula1>
    </dataValidation>
    <dataValidation type="custom" allowBlank="1" showDropDown="1" sqref="D2:D28">
      <formula1>OR(NOT(ISERROR(DATEVALUE(D2))), AND(ISNUMBER(D2), LEFT(CELL("format", D2))="D"))</formula1>
    </dataValidation>
    <dataValidation type="custom" allowBlank="1" showDropDown="1" sqref="M2:M14 B2:C28 F2:I28">
      <formula1>AND(ISNUMBER(B2),(NOT(OR(NOT(ISERROR(DATEVALUE(B2))), AND(ISNUMBER(B2), LEFT(CELL("format", B2))="D")))))</formula1>
    </dataValidation>
  </dataValidations>
  <drawing r:id="rId1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7.88"/>
    <col customWidth="1" min="2" max="2" width="12.75"/>
    <col customWidth="1" min="3" max="3" width="15.75"/>
    <col customWidth="1" min="4" max="4" width="12.38"/>
    <col customWidth="1" min="5" max="5" width="9.0"/>
    <col customWidth="1" min="6" max="6" width="10.5"/>
    <col customWidth="1" min="7" max="7" width="10.88"/>
    <col customWidth="1" min="8" max="8" width="15.75"/>
    <col customWidth="1" min="9" max="9" width="11.25"/>
    <col customWidth="1" min="10" max="10" width="14.63"/>
    <col customWidth="1" min="11" max="11" width="5.75"/>
    <col customWidth="1" min="12" max="12" width="14.88"/>
    <col customWidth="1" min="13" max="13" width="17.5"/>
  </cols>
  <sheetData>
    <row r="1">
      <c r="A1" s="132" t="s">
        <v>0</v>
      </c>
      <c r="B1" s="133" t="s">
        <v>1</v>
      </c>
      <c r="C1" s="134" t="s">
        <v>2</v>
      </c>
      <c r="D1" s="133" t="s">
        <v>3</v>
      </c>
      <c r="E1" s="133" t="s">
        <v>4</v>
      </c>
      <c r="F1" s="133" t="s">
        <v>5</v>
      </c>
      <c r="G1" s="133" t="s">
        <v>6</v>
      </c>
      <c r="H1" s="133" t="s">
        <v>7</v>
      </c>
      <c r="I1" s="133" t="s">
        <v>8</v>
      </c>
      <c r="J1" s="135" t="s">
        <v>9</v>
      </c>
      <c r="K1" s="93"/>
      <c r="L1" s="9" t="s">
        <v>10</v>
      </c>
      <c r="M1" s="10" t="s">
        <v>11</v>
      </c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>
      <c r="A2" s="136" t="s">
        <v>31</v>
      </c>
      <c r="B2" s="153">
        <f>506.93+45+298.23</f>
        <v>850.16</v>
      </c>
      <c r="C2" s="138">
        <v>850.16</v>
      </c>
      <c r="D2" s="139">
        <v>45807.0</v>
      </c>
      <c r="E2" s="140" t="str">
        <f>IF(contas_3[data]&lt;&gt;"",UPPER(TEXT(contas_3[data],"mmm")), "")</f>
        <v>MAI.</v>
      </c>
      <c r="F2" s="141">
        <v>1.0</v>
      </c>
      <c r="G2" s="141">
        <v>999.0</v>
      </c>
      <c r="H2" s="142">
        <f>IF(contas_3[n parc] = 999, contas_3[valor] *1 - contas_3[valor pago] , contas_3[valor]*contas_3[n parc] - contas_3[valor pago])
</f>
        <v>0</v>
      </c>
      <c r="I2" s="143">
        <f>IF(contas_3[valor pago]="",contas_3[n parc], IF(contas_3[n parc]=999, 999, IF(AND(contas_3[n parc]=1,contas_3[total devido]=0),contas_3[n parc]-1, IF(AND(contas_3[n parc]&gt;1, OR(contas_3[total devido]&lt;&gt;0,contas_3[total devido]=0)),contas_3[n parc]-1,contas_3[n parc]))))</f>
        <v>999</v>
      </c>
      <c r="J2" s="144" t="s">
        <v>79</v>
      </c>
      <c r="K2" s="93"/>
      <c r="L2" s="20" t="s">
        <v>14</v>
      </c>
      <c r="M2" s="21">
        <f>SUM(contas_3[valor])-SUMIF(contas_3[pago em], "cartao", contas_3[valor])-SUMIF(contas_3[pago em], "pagamento", contas_3[valor])</f>
        <v>8270.82</v>
      </c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>
      <c r="A3" s="154" t="s">
        <v>22</v>
      </c>
      <c r="B3" s="155">
        <v>22.1</v>
      </c>
      <c r="C3" s="138">
        <v>22.1</v>
      </c>
      <c r="D3" s="147">
        <v>45809.0</v>
      </c>
      <c r="E3" s="158" t="str">
        <f>IF(contas_3[data]&lt;&gt;"",UPPER(TEXT(contas_3[data],"mmm")), "")</f>
        <v>JUN.</v>
      </c>
      <c r="F3" s="151">
        <v>1.0</v>
      </c>
      <c r="G3" s="151">
        <v>999.0</v>
      </c>
      <c r="H3" s="150">
        <f>IF(contas_3[n parc] = 999, contas_3[valor] *1 - contas_3[valor pago] , contas_3[valor]*contas_3[n parc] - contas_3[valor pago])
</f>
        <v>0</v>
      </c>
      <c r="I3" s="151">
        <f>IF(contas_3[valor pago]="",contas_3[n parc], IF(contas_3[n parc]=999, 999, IF(AND(contas_3[n parc]=1,contas_3[total devido]=0),contas_3[n parc]-1, IF(AND(contas_3[n parc]&gt;1, OR(contas_3[total devido]&lt;&gt;0,contas_3[total devido]=0)),contas_3[n parc]-1,contas_3[n parc]))))</f>
        <v>999</v>
      </c>
      <c r="J3" s="152" t="s">
        <v>18</v>
      </c>
      <c r="K3" s="93"/>
      <c r="L3" s="31" t="s">
        <v>16</v>
      </c>
      <c r="M3" s="32">
        <f>(SUM(contas_3[valor])-SUMIF(contas_3[pago em], "cartao", contas_3[valor])-SUMIF(contas_3[pago em], "pagamento", contas_3[valor]))-(SUM(contas_3[valor pago])-SUMIF(contas_3[pago em], "cartao", contas_3[valor])-SUMIF(contas_3[pago em], "pagamento", contas_3[valor]))</f>
        <v>210.5</v>
      </c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>
      <c r="A4" s="159" t="s">
        <v>17</v>
      </c>
      <c r="B4" s="168">
        <v>76.52</v>
      </c>
      <c r="C4" s="138">
        <v>76.52</v>
      </c>
      <c r="D4" s="139">
        <v>45807.0</v>
      </c>
      <c r="E4" s="164" t="str">
        <f>IF(contas_3[data]&lt;&gt;"",UPPER(TEXT(contas_3[data],"mmm")), "")</f>
        <v>MAI.</v>
      </c>
      <c r="F4" s="143">
        <v>1.0</v>
      </c>
      <c r="G4" s="143">
        <v>999.0</v>
      </c>
      <c r="H4" s="142">
        <f>IF(contas_3[n parc] = 999, contas_3[valor] *1 - contas_3[valor pago] , contas_3[valor]*contas_3[n parc] - contas_3[valor pago])
</f>
        <v>0</v>
      </c>
      <c r="I4" s="143">
        <f>IF(contas_3[valor pago]="",contas_3[n parc], IF(contas_3[n parc]=999, 999, IF(AND(contas_3[n parc]=1,contas_3[total devido]=0),contas_3[n parc]-1, IF(AND(contas_3[n parc]&gt;1, OR(contas_3[total devido]&lt;&gt;0,contas_3[total devido]=0)),contas_3[n parc]-1,contas_3[n parc]))))</f>
        <v>999</v>
      </c>
      <c r="J4" s="144" t="s">
        <v>13</v>
      </c>
      <c r="K4" s="93"/>
      <c r="L4" s="20" t="s">
        <v>19</v>
      </c>
      <c r="M4" s="21">
        <f>SUMIF(contas_3[pago em], "pagamento", contas_3[valor])</f>
        <v>8051.34</v>
      </c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>
      <c r="A5" s="145" t="s">
        <v>86</v>
      </c>
      <c r="B5" s="146">
        <v>143.11</v>
      </c>
      <c r="C5" s="138">
        <v>143.11</v>
      </c>
      <c r="D5" s="147">
        <v>45809.0</v>
      </c>
      <c r="E5" s="148" t="str">
        <f>IF(contas_3[data]&lt;&gt;"",UPPER(TEXT(contas_3[data],"mmm")), "")</f>
        <v>JUN.</v>
      </c>
      <c r="F5" s="151">
        <v>1.0</v>
      </c>
      <c r="G5" s="151">
        <v>999.0</v>
      </c>
      <c r="H5" s="150">
        <f>IF(contas_3[n parc] = 999, contas_3[valor] *1 - contas_3[valor pago] , contas_3[valor]*contas_3[n parc] - contas_3[valor pago])
</f>
        <v>0</v>
      </c>
      <c r="I5" s="151">
        <f>IF(contas_3[valor pago]="",contas_3[n parc], IF(contas_3[n parc]=999, 999, IF(AND(contas_3[n parc]=1,contas_3[total devido]=0),contas_3[n parc]-1, IF(AND(contas_3[n parc]&gt;1, OR(contas_3[total devido]&lt;&gt;0,contas_3[total devido]=0)),contas_3[n parc]-1,contas_3[n parc]))))</f>
        <v>999</v>
      </c>
      <c r="J5" s="152" t="s">
        <v>13</v>
      </c>
      <c r="K5" s="93"/>
      <c r="L5" s="31" t="s">
        <v>21</v>
      </c>
      <c r="M5" s="37">
        <f>SUM(contas_3[total devido])</f>
        <v>9960.7</v>
      </c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>
      <c r="A6" s="159" t="s">
        <v>65</v>
      </c>
      <c r="B6" s="160">
        <f>312.85+613.94</f>
        <v>926.79</v>
      </c>
      <c r="C6" s="138">
        <v>926.79</v>
      </c>
      <c r="D6" s="139">
        <v>45807.0</v>
      </c>
      <c r="E6" s="164" t="str">
        <f>IF(contas_3[data]&lt;&gt;"",UPPER(TEXT(contas_3[data],"mmm")), "")</f>
        <v>MAI.</v>
      </c>
      <c r="F6" s="143">
        <v>1.0</v>
      </c>
      <c r="G6" s="141">
        <v>1.0</v>
      </c>
      <c r="H6" s="142">
        <f>IF(contas_3[n parc] = 999, contas_3[valor] *1 - contas_3[valor pago] , contas_3[valor]*contas_3[n parc] - contas_3[valor pago])
</f>
        <v>0</v>
      </c>
      <c r="I6" s="143">
        <f>IF(contas_3[valor pago]="",contas_3[n parc], IF(contas_3[n parc]=999, 999, IF(AND(contas_3[n parc]=1,contas_3[total devido]=0),contas_3[n parc]-1, IF(AND(contas_3[n parc]&gt;1, OR(contas_3[total devido]&lt;&gt;0,contas_3[total devido]=0)),contas_3[n parc]-1,contas_3[n parc]))))</f>
        <v>1</v>
      </c>
      <c r="J6" s="144" t="s">
        <v>13</v>
      </c>
      <c r="K6" s="93"/>
      <c r="L6" s="20" t="s">
        <v>23</v>
      </c>
      <c r="M6" s="21">
        <f>IF(SUMIF(contas_3[pago em], "debito",contas_3[valor pago]) &gt; ((SUMIF(contas_3[pago em], "pagamento", contas_3[valor]))-(SUMIF(contas_3[pago em], "investimento", contas_3[valor]))), -(SUMIF(contas_3[pago em], "debito",contas_3[valor pago]) - ((SUMIF(contas_3[pago em], "pagamento", contas_3[valor]))-(SUMIF(contas_3[pago em], "investimento", contas_3[valor])))), ((SUMIF(contas_3[pago em], "pagamento", contas_3[valor]))-(SUMIF(contas_3[pago em], "investimento", contas_3[valor]))) - SUMIF(contas_3[pago em], "debito",contas_3[valor pago]))</f>
        <v>-8.98</v>
      </c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>
      <c r="A7" s="145" t="s">
        <v>15</v>
      </c>
      <c r="B7" s="180">
        <v>1529.6</v>
      </c>
      <c r="C7" s="138">
        <v>1529.6</v>
      </c>
      <c r="D7" s="147">
        <v>45809.0</v>
      </c>
      <c r="E7" s="158" t="str">
        <f>IF(contas_3[data]&lt;&gt;"",UPPER(TEXT(contas_3[data],"mmm")), "")</f>
        <v>JUN.</v>
      </c>
      <c r="F7" s="149">
        <v>1.0</v>
      </c>
      <c r="G7" s="149">
        <v>999.0</v>
      </c>
      <c r="H7" s="150">
        <f>IF(contas_3[n parc] = 999, contas_3[valor] *1 - contas_3[valor pago] , contas_3[valor]*contas_3[n parc] - contas_3[valor pago])
</f>
        <v>0</v>
      </c>
      <c r="I7" s="151">
        <f>IF(contas_3[valor pago]="",contas_3[n parc], IF(contas_3[n parc]=999, 999, IF(AND(contas_3[n parc]=1,contas_3[total devido]=0),contas_3[n parc]-1, IF(AND(contas_3[n parc]&gt;1, OR(contas_3[total devido]&lt;&gt;0,contas_3[total devido]=0)),contas_3[n parc]-1,contas_3[n parc]))))</f>
        <v>999</v>
      </c>
      <c r="J7" s="152" t="s">
        <v>15</v>
      </c>
      <c r="K7" s="93"/>
      <c r="L7" s="31" t="s">
        <v>25</v>
      </c>
      <c r="M7" s="32">
        <f>SUM(contas_3[valor pago])-SUMIF(contas_3[pago em], "cartao", contas_3[valor])-SUMIF(contas_3[pago em], "pagamento", contas_3[valor])</f>
        <v>8060.32</v>
      </c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>
      <c r="A8" s="159" t="s">
        <v>59</v>
      </c>
      <c r="B8" s="168">
        <v>292.75</v>
      </c>
      <c r="C8" s="138">
        <v>292.75</v>
      </c>
      <c r="D8" s="139">
        <v>45807.0</v>
      </c>
      <c r="E8" s="164" t="str">
        <f>IF(contas_3[data]&lt;&gt;"",UPPER(TEXT(contas_3[data],"mmm")), "")</f>
        <v>MAI.</v>
      </c>
      <c r="F8" s="141">
        <v>1.0</v>
      </c>
      <c r="G8" s="141">
        <v>999.0</v>
      </c>
      <c r="H8" s="142">
        <f>IF(contas_3[n parc] = 999, contas_3[valor] *1 - contas_3[valor pago] , contas_3[valor]*contas_3[n parc] - contas_3[valor pago])
</f>
        <v>0</v>
      </c>
      <c r="I8" s="143">
        <f>IF(contas_3[valor pago]="",contas_3[n parc], IF(contas_3[n parc]=999, 999, IF(AND(contas_3[n parc]=1,contas_3[total devido]=0),contas_3[n parc]-1, IF(AND(contas_3[n parc]&gt;1, OR(contas_3[total devido]&lt;&gt;0,contas_3[total devido]=0)),contas_3[n parc]-1,contas_3[n parc]))))</f>
        <v>999</v>
      </c>
      <c r="J8" s="144" t="s">
        <v>13</v>
      </c>
      <c r="K8" s="93"/>
      <c r="L8" s="40" t="s">
        <v>27</v>
      </c>
      <c r="M8" s="21">
        <f>SUMIF(contas_3[pago em], "cartao", contas_3[valor])</f>
        <v>271.85</v>
      </c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>
      <c r="A9" s="154" t="s">
        <v>24</v>
      </c>
      <c r="B9" s="146">
        <v>298.09</v>
      </c>
      <c r="C9" s="138">
        <v>298.09</v>
      </c>
      <c r="D9" s="147">
        <v>45807.0</v>
      </c>
      <c r="E9" s="148" t="str">
        <f>IF(contas_3[data]&lt;&gt;"",UPPER(TEXT(contas_3[data],"mmm")), "")</f>
        <v>MAI.</v>
      </c>
      <c r="F9" s="149">
        <v>2.0</v>
      </c>
      <c r="G9" s="151">
        <v>999.0</v>
      </c>
      <c r="H9" s="150">
        <f>IF(contas_3[n parc] = 999, contas_3[valor] *1 - contas_3[valor pago] , contas_3[valor]*contas_3[n parc] - contas_3[valor pago])
</f>
        <v>0</v>
      </c>
      <c r="I9" s="151">
        <f>IF(contas_3[valor pago]="",contas_3[n parc], IF(contas_3[n parc]=999, 999, IF(AND(contas_3[n parc]=1,contas_3[total devido]=0),contas_3[n parc]-1, IF(AND(contas_3[n parc]&gt;1, OR(contas_3[total devido]&lt;&gt;0,contas_3[total devido]=0)),contas_3[n parc]-1,contas_3[n parc]))))</f>
        <v>999</v>
      </c>
      <c r="J9" s="152" t="s">
        <v>13</v>
      </c>
      <c r="K9" s="93"/>
      <c r="L9" s="31" t="s">
        <v>29</v>
      </c>
      <c r="M9" s="32">
        <f>SUMIF(contas_3[pago em], "pagamento", contas_3[valor])*10%</f>
        <v>805.134</v>
      </c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>
      <c r="A10" s="136" t="s">
        <v>59</v>
      </c>
      <c r="B10" s="168">
        <v>335.53</v>
      </c>
      <c r="C10" s="138">
        <f>335.53</f>
        <v>335.53</v>
      </c>
      <c r="D10" s="139">
        <v>45807.0</v>
      </c>
      <c r="E10" s="164" t="str">
        <f>IF(contas_3[data]&lt;&gt;"",UPPER(TEXT(contas_3[data],"mmm")), "")</f>
        <v>MAI.</v>
      </c>
      <c r="F10" s="141">
        <v>4.0</v>
      </c>
      <c r="G10" s="141">
        <v>1.0</v>
      </c>
      <c r="H10" s="142">
        <f>IF(contas_3[n parc] = 999, contas_3[valor] *1 - contas_3[valor pago] , contas_3[valor]*contas_3[n parc] - contas_3[valor pago])
</f>
        <v>0</v>
      </c>
      <c r="I10" s="143">
        <f>IF(contas_3[valor pago]="",contas_3[n parc], IF(contas_3[n parc]=999, 999, IF(AND(contas_3[n parc]=1,contas_3[total devido]=0),contas_3[n parc]-1, IF(AND(contas_3[n parc]&gt;1, OR(contas_3[total devido]&lt;&gt;0,contas_3[total devido]=0)),contas_3[n parc]-1,contas_3[n parc]))))</f>
        <v>0</v>
      </c>
      <c r="J10" s="144" t="s">
        <v>13</v>
      </c>
      <c r="K10" s="93"/>
      <c r="L10" s="20" t="s">
        <v>31</v>
      </c>
      <c r="M10" s="21">
        <f>SUMIF(contas_3[pago em], "investimento", contas_3[valor])</f>
        <v>850.16</v>
      </c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</row>
    <row r="11">
      <c r="A11" s="154" t="s">
        <v>67</v>
      </c>
      <c r="B11" s="155">
        <v>39.75</v>
      </c>
      <c r="C11" s="138">
        <v>39.75</v>
      </c>
      <c r="D11" s="147">
        <v>45812.0</v>
      </c>
      <c r="E11" s="148" t="str">
        <f>IF(contas_3[data]&lt;&gt;"",UPPER(TEXT(contas_3[data],"mmm")), "")</f>
        <v>JUN.</v>
      </c>
      <c r="F11" s="151">
        <v>4.0</v>
      </c>
      <c r="G11" s="149">
        <v>10.0</v>
      </c>
      <c r="H11" s="150">
        <f>IF(contas_3[n parc] = 999, contas_3[valor] *1 - contas_3[valor pago] , contas_3[valor]*contas_3[n parc] - contas_3[valor pago])
</f>
        <v>357.75</v>
      </c>
      <c r="I11" s="151">
        <f>IF(contas_3[valor pago]="",contas_3[n parc], IF(contas_3[n parc]=999, 999, IF(AND(contas_3[n parc]=1,contas_3[total devido]=0),contas_3[n parc]-1, IF(AND(contas_3[n parc]&gt;1, OR(contas_3[total devido]&lt;&gt;0,contas_3[total devido]=0)),contas_3[n parc]-1,contas_3[n parc]))))</f>
        <v>9</v>
      </c>
      <c r="J11" s="152" t="s">
        <v>18</v>
      </c>
      <c r="K11" s="93"/>
      <c r="L11" s="31" t="s">
        <v>33</v>
      </c>
      <c r="M11" s="48">
        <v>1917.0</v>
      </c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>
      <c r="A12" s="159" t="s">
        <v>26</v>
      </c>
      <c r="B12" s="168">
        <f>7.99+109.99</f>
        <v>117.98</v>
      </c>
      <c r="C12" s="138">
        <v>117.98</v>
      </c>
      <c r="D12" s="139">
        <v>45807.0</v>
      </c>
      <c r="E12" s="164" t="str">
        <f>IF(contas_3[data]&lt;&gt;"",UPPER(TEXT(contas_3[data],"mmm")), "")</f>
        <v>MAI.</v>
      </c>
      <c r="F12" s="143">
        <v>4.0</v>
      </c>
      <c r="G12" s="141">
        <v>999.0</v>
      </c>
      <c r="H12" s="142">
        <f>IF(contas_3[n parc] = 999, contas_3[valor] *1 - contas_3[valor pago] , contas_3[valor]*contas_3[n parc] - contas_3[valor pago])
</f>
        <v>0</v>
      </c>
      <c r="I12" s="143">
        <f>IF(contas_3[valor pago]="",contas_3[n parc], IF(contas_3[n parc]=999, 999, IF(AND(contas_3[n parc]=1,contas_3[total devido]=0),contas_3[n parc]-1, IF(AND(contas_3[n parc]&gt;1, OR(contas_3[total devido]&lt;&gt;0,contas_3[total devido]=0)),contas_3[n parc]-1,contas_3[n parc]))))</f>
        <v>999</v>
      </c>
      <c r="J12" s="144" t="s">
        <v>13</v>
      </c>
      <c r="K12" s="93"/>
      <c r="L12" s="49" t="s">
        <v>35</v>
      </c>
      <c r="M12" s="21">
        <f>600+317</f>
        <v>917</v>
      </c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>
      <c r="A13" s="154" t="s">
        <v>52</v>
      </c>
      <c r="B13" s="146">
        <v>333.86</v>
      </c>
      <c r="C13" s="138">
        <v>333.86</v>
      </c>
      <c r="D13" s="147">
        <v>45807.0</v>
      </c>
      <c r="E13" s="148" t="str">
        <f>IF(contas_3[data]&lt;&gt;"",UPPER(TEXT(contas_3[data],"mmm")), "")</f>
        <v>MAI.</v>
      </c>
      <c r="F13" s="151">
        <v>9.0</v>
      </c>
      <c r="G13" s="149">
        <v>11.0</v>
      </c>
      <c r="H13" s="150">
        <f>IF(contas_3[n parc] = 999, contas_3[valor] *1 - contas_3[valor pago] , contas_3[valor]*contas_3[n parc] - contas_3[valor pago])
</f>
        <v>3338.6</v>
      </c>
      <c r="I13" s="151">
        <f>IF(contas_3[valor pago]="",contas_3[n parc], IF(contas_3[n parc]=999, 999, IF(AND(contas_3[n parc]=1,contas_3[total devido]=0),contas_3[n parc]-1, IF(AND(contas_3[n parc]&gt;1, OR(contas_3[total devido]&lt;&gt;0,contas_3[total devido]=0)),contas_3[n parc]-1,contas_3[n parc]))))</f>
        <v>10</v>
      </c>
      <c r="J13" s="152" t="s">
        <v>13</v>
      </c>
      <c r="K13" s="93"/>
      <c r="L13" s="165" t="s">
        <v>38</v>
      </c>
      <c r="M13" s="32">
        <v>1000.0</v>
      </c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>
      <c r="A14" s="159" t="s">
        <v>34</v>
      </c>
      <c r="B14" s="168">
        <v>189.0</v>
      </c>
      <c r="C14" s="138">
        <v>189.0</v>
      </c>
      <c r="D14" s="139">
        <v>45821.0</v>
      </c>
      <c r="E14" s="164" t="str">
        <f>IF(contas_3[data]&lt;&gt;"",UPPER(TEXT(contas_3[data],"mmm")), "")</f>
        <v>JUN.</v>
      </c>
      <c r="F14" s="143">
        <v>10.0</v>
      </c>
      <c r="G14" s="143">
        <v>999.0</v>
      </c>
      <c r="H14" s="142">
        <f>IF(contas_3[n parc] = 999, contas_3[valor] *1 - contas_3[valor pago] , contas_3[valor]*contas_3[n parc] - contas_3[valor pago])
</f>
        <v>0</v>
      </c>
      <c r="I14" s="143">
        <f>IF(contas_3[valor pago]="",contas_3[n parc], IF(contas_3[n parc]=999, 999, IF(AND(contas_3[n parc]=1,contas_3[total devido]=0),contas_3[n parc]-1, IF(AND(contas_3[n parc]&gt;1, OR(contas_3[total devido]&lt;&gt;0,contas_3[total devido]=0)),contas_3[n parc]-1,contas_3[n parc]))))</f>
        <v>999</v>
      </c>
      <c r="J14" s="144" t="s">
        <v>13</v>
      </c>
      <c r="K14" s="93"/>
      <c r="L14" s="178" t="s">
        <v>80</v>
      </c>
      <c r="M14" s="167">
        <f>SUMIF(contas_3[n parc], "999", contas_3[valor])-SUMIF(contas_3[pago em], "pagamento", contas_3[valor])</f>
        <v>1005.7</v>
      </c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>
      <c r="A15" s="145" t="s">
        <v>83</v>
      </c>
      <c r="B15" s="146">
        <v>297.75</v>
      </c>
      <c r="C15" s="138">
        <v>297.75</v>
      </c>
      <c r="D15" s="147">
        <v>45807.0</v>
      </c>
      <c r="E15" s="148" t="str">
        <f>IF(contas_3[data]&lt;&gt;"",UPPER(TEXT(contas_3[data],"mmm")), "")</f>
        <v>MAI.</v>
      </c>
      <c r="F15" s="151">
        <v>10.0</v>
      </c>
      <c r="G15" s="149">
        <v>1.0</v>
      </c>
      <c r="H15" s="150">
        <f>IF(contas_3[n parc] = 999, contas_3[valor] *1 - contas_3[valor pago] , contas_3[valor]*contas_3[n parc] - contas_3[valor pago])
</f>
        <v>0</v>
      </c>
      <c r="I15" s="151">
        <f>IF(contas_3[valor pago]="",contas_3[n parc], IF(contas_3[n parc]=999, 999, IF(AND(contas_3[n parc]=1,contas_3[total devido]=0),contas_3[n parc]-1, IF(AND(contas_3[n parc]&gt;1, OR(contas_3[total devido]&lt;&gt;0,contas_3[total devido]=0)),contas_3[n parc]-1,contas_3[n parc]))))</f>
        <v>0</v>
      </c>
      <c r="J15" s="152" t="s">
        <v>13</v>
      </c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>
      <c r="A16" s="159" t="s">
        <v>36</v>
      </c>
      <c r="B16" s="168">
        <f>390.5+87.69+138.76</f>
        <v>616.95</v>
      </c>
      <c r="C16" s="138">
        <v>616.95</v>
      </c>
      <c r="D16" s="139">
        <v>45807.0</v>
      </c>
      <c r="E16" s="164" t="str">
        <f>IF(contas_3[data]&lt;&gt;"",UPPER(TEXT(contas_3[data],"mmm")), "")</f>
        <v>MAI.</v>
      </c>
      <c r="F16" s="143">
        <v>13.0</v>
      </c>
      <c r="G16" s="143">
        <v>999.0</v>
      </c>
      <c r="H16" s="142">
        <f>IF(contas_3[n parc] = 999, contas_3[valor] *1 - contas_3[valor pago] , contas_3[valor]*contas_3[n parc] - contas_3[valor pago])
</f>
        <v>0</v>
      </c>
      <c r="I16" s="143">
        <f>IF(contas_3[valor pago]="",contas_3[n parc], IF(contas_3[n parc]=999, 999, IF(AND(contas_3[n parc]=1,contas_3[total devido]=0),contas_3[n parc]-1, IF(AND(contas_3[n parc]&gt;1, OR(contas_3[total devido]&lt;&gt;0,contas_3[total devido]=0)),contas_3[n parc]-1,contas_3[n parc]))))</f>
        <v>999</v>
      </c>
      <c r="J16" s="144" t="s">
        <v>13</v>
      </c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>
      <c r="A17" s="145" t="s">
        <v>84</v>
      </c>
      <c r="B17" s="146">
        <v>2982.0</v>
      </c>
      <c r="C17" s="138">
        <v>2982.0</v>
      </c>
      <c r="D17" s="147">
        <v>45821.0</v>
      </c>
      <c r="E17" s="148" t="str">
        <f>IF(contas_3[data]&lt;&gt;"",UPPER(TEXT(contas_3[data],"mmm")), "")</f>
        <v>JUN.</v>
      </c>
      <c r="F17" s="149">
        <v>15.0</v>
      </c>
      <c r="G17" s="149">
        <v>999.0</v>
      </c>
      <c r="H17" s="150">
        <f>IF(contas_3[n parc] = 999, contas_3[valor] *1 - contas_3[valor pago] , contas_3[valor]*contas_3[n parc] - contas_3[valor pago])
</f>
        <v>0</v>
      </c>
      <c r="I17" s="151">
        <f>IF(contas_3[valor pago]="",contas_3[n parc], IF(contas_3[n parc]=999, 999, IF(AND(contas_3[n parc]=1,contas_3[total devido]=0),contas_3[n parc]-1, IF(AND(contas_3[n parc]&gt;1, OR(contas_3[total devido]&lt;&gt;0,contas_3[total devido]=0)),contas_3[n parc]-1,contas_3[n parc]))))</f>
        <v>999</v>
      </c>
      <c r="J17" s="152" t="s">
        <v>15</v>
      </c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>
      <c r="A18" s="159" t="s">
        <v>40</v>
      </c>
      <c r="B18" s="168">
        <v>600.0</v>
      </c>
      <c r="C18" s="138">
        <v>600.0</v>
      </c>
      <c r="D18" s="139">
        <v>45821.0</v>
      </c>
      <c r="E18" s="164" t="str">
        <f>IF(contas_3[data]&lt;&gt;"",UPPER(TEXT(contas_3[data],"mmm")), "")</f>
        <v>JUN.</v>
      </c>
      <c r="F18" s="143">
        <v>15.0</v>
      </c>
      <c r="G18" s="143">
        <v>999.0</v>
      </c>
      <c r="H18" s="142">
        <f>IF(contas_3[n parc] = 999, contas_3[valor] *1 - contas_3[valor pago] , contas_3[valor]*contas_3[n parc] - contas_3[valor pago])
</f>
        <v>0</v>
      </c>
      <c r="I18" s="143">
        <f>IF(contas_3[valor pago]="",contas_3[n parc], IF(contas_3[n parc]=999, 999, IF(AND(contas_3[n parc]=1,contas_3[total devido]=0),contas_3[n parc]-1, IF(AND(contas_3[n parc]&gt;1, OR(contas_3[total devido]&lt;&gt;0,contas_3[total devido]=0)),contas_3[n parc]-1,contas_3[n parc]))))</f>
        <v>999</v>
      </c>
      <c r="J18" s="144" t="s">
        <v>13</v>
      </c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>
      <c r="A19" s="145" t="s">
        <v>85</v>
      </c>
      <c r="B19" s="146">
        <v>210.5</v>
      </c>
      <c r="C19" s="146"/>
      <c r="D19" s="147"/>
      <c r="E19" s="148" t="str">
        <f>IF(contas_3[data]&lt;&gt;"",UPPER(TEXT(contas_3[data],"mmm")), "")</f>
        <v/>
      </c>
      <c r="F19" s="151">
        <v>15.0</v>
      </c>
      <c r="G19" s="149">
        <v>7.0</v>
      </c>
      <c r="H19" s="150">
        <f>IF(contas_3[n parc] = 999, contas_3[valor] *1 - contas_3[valor pago] , contas_3[valor]*contas_3[n parc] - contas_3[valor pago])
</f>
        <v>1473.5</v>
      </c>
      <c r="I19" s="151">
        <f>IF(contas_3[valor pago]="",contas_3[n parc], IF(contas_3[n parc]=999, 999, IF(AND(contas_3[n parc]=1,contas_3[total devido]=0),contas_3[n parc]-1, IF(AND(contas_3[n parc]&gt;1, OR(contas_3[total devido]&lt;&gt;0,contas_3[total devido]=0)),contas_3[n parc]-1,contas_3[n parc]))))</f>
        <v>7</v>
      </c>
      <c r="J19" s="152" t="s">
        <v>37</v>
      </c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>
      <c r="A20" s="136" t="s">
        <v>87</v>
      </c>
      <c r="B20" s="168">
        <v>563.79</v>
      </c>
      <c r="C20" s="138">
        <v>563.79</v>
      </c>
      <c r="D20" s="139">
        <v>45821.0</v>
      </c>
      <c r="E20" s="164" t="str">
        <f>IF(contas_3[data]&lt;&gt;"",UPPER(TEXT(contas_3[data],"mmm")), "")</f>
        <v>JUN.</v>
      </c>
      <c r="F20" s="143">
        <v>15.0</v>
      </c>
      <c r="G20" s="141">
        <v>4.0</v>
      </c>
      <c r="H20" s="142">
        <f>IF(contas_3[n parc] = 999, contas_3[valor] *1 - contas_3[valor pago] , contas_3[valor]*contas_3[n parc] - contas_3[valor pago])
</f>
        <v>1691.37</v>
      </c>
      <c r="I20" s="143">
        <f>IF(contas_3[valor pago]="",contas_3[n parc], IF(contas_3[n parc]=999, 999, IF(AND(contas_3[n parc]=1,contas_3[total devido]=0),contas_3[n parc]-1, IF(AND(contas_3[n parc]&gt;1, OR(contas_3[total devido]&lt;&gt;0,contas_3[total devido]=0)),contas_3[n parc]-1,contas_3[n parc]))))</f>
        <v>3</v>
      </c>
      <c r="J20" s="144" t="s">
        <v>13</v>
      </c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>
      <c r="A21" s="154" t="s">
        <v>43</v>
      </c>
      <c r="B21" s="146">
        <v>227.8</v>
      </c>
      <c r="C21" s="138">
        <v>227.8</v>
      </c>
      <c r="D21" s="147">
        <v>45807.0</v>
      </c>
      <c r="E21" s="148" t="str">
        <f>IF(contas_3[data]&lt;&gt;"",UPPER(TEXT(contas_3[data],"mmm")), "")</f>
        <v>MAI.</v>
      </c>
      <c r="F21" s="151">
        <v>16.0</v>
      </c>
      <c r="G21" s="149">
        <v>6.0</v>
      </c>
      <c r="H21" s="150">
        <f>IF(contas_3[n parc] = 999, contas_3[valor] *1 - contas_3[valor pago] , contas_3[valor]*contas_3[n parc] - contas_3[valor pago])
</f>
        <v>1139</v>
      </c>
      <c r="I21" s="151">
        <f>IF(contas_3[valor pago]="",contas_3[n parc], IF(contas_3[n parc]=999, 999, IF(AND(contas_3[n parc]=1,contas_3[total devido]=0),contas_3[n parc]-1, IF(AND(contas_3[n parc]&gt;1, OR(contas_3[total devido]&lt;&gt;0,contas_3[total devido]=0)),contas_3[n parc]-1,contas_3[n parc]))))</f>
        <v>5</v>
      </c>
      <c r="J21" s="152" t="s">
        <v>13</v>
      </c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>
      <c r="A22" s="159" t="s">
        <v>55</v>
      </c>
      <c r="B22" s="160">
        <v>210.0</v>
      </c>
      <c r="C22" s="138">
        <v>210.0</v>
      </c>
      <c r="D22" s="139">
        <v>45824.0</v>
      </c>
      <c r="E22" s="164" t="str">
        <f>IF(contas_3[data]&lt;&gt;"",UPPER(TEXT(contas_3[data],"mmm")), "")</f>
        <v>JUN.</v>
      </c>
      <c r="F22" s="143">
        <v>16.0</v>
      </c>
      <c r="G22" s="141">
        <v>6.0</v>
      </c>
      <c r="H22" s="142">
        <f>IF(contas_3[n parc] = 999, contas_3[valor] *1 - contas_3[valor pago] , contas_3[valor]*contas_3[n parc] - contas_3[valor pago])
</f>
        <v>1050</v>
      </c>
      <c r="I22" s="143">
        <f>IF(contas_3[valor pago]="",contas_3[n parc], IF(contas_3[n parc]=999, 999, IF(AND(contas_3[n parc]=1,contas_3[total devido]=0),contas_3[n parc]-1, IF(AND(contas_3[n parc]&gt;1, OR(contas_3[total devido]&lt;&gt;0,contas_3[total devido]=0)),contas_3[n parc]-1,contas_3[n parc]))))</f>
        <v>5</v>
      </c>
      <c r="J22" s="144" t="s">
        <v>18</v>
      </c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>
      <c r="A23" s="154" t="s">
        <v>59</v>
      </c>
      <c r="B23" s="146">
        <v>396.22</v>
      </c>
      <c r="C23" s="138">
        <v>396.22</v>
      </c>
      <c r="D23" s="147">
        <v>45821.0</v>
      </c>
      <c r="E23" s="148" t="str">
        <f>IF(contas_3[data]&lt;&gt;"",UPPER(TEXT(contas_3[data],"mmm")), "")</f>
        <v>JUN.</v>
      </c>
      <c r="F23" s="149">
        <v>16.0</v>
      </c>
      <c r="G23" s="149">
        <v>1.0</v>
      </c>
      <c r="H23" s="150">
        <f>IF(contas_3[n parc] = 999, contas_3[valor] *1 - contas_3[valor pago] , contas_3[valor]*contas_3[n parc] - contas_3[valor pago])
</f>
        <v>0</v>
      </c>
      <c r="I23" s="151">
        <f>IF(contas_3[valor pago]="",contas_3[n parc], IF(contas_3[n parc]=999, 999, IF(AND(contas_3[n parc]=1,contas_3[total devido]=0),contas_3[n parc]-1, IF(AND(contas_3[n parc]&gt;1, OR(contas_3[total devido]&lt;&gt;0,contas_3[total devido]=0)),contas_3[n parc]-1,contas_3[n parc]))))</f>
        <v>0</v>
      </c>
      <c r="J23" s="152" t="s">
        <v>13</v>
      </c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>
      <c r="A24" s="159" t="s">
        <v>62</v>
      </c>
      <c r="B24" s="168">
        <v>455.24</v>
      </c>
      <c r="C24" s="138">
        <v>455.24</v>
      </c>
      <c r="D24" s="139">
        <v>45821.0</v>
      </c>
      <c r="E24" s="164" t="str">
        <f>IF(contas_3[data]&lt;&gt;"",UPPER(TEXT(contas_3[data],"mmm")), "")</f>
        <v>JUN.</v>
      </c>
      <c r="F24" s="143">
        <v>17.0</v>
      </c>
      <c r="G24" s="141">
        <v>3.0</v>
      </c>
      <c r="H24" s="142">
        <f>IF(contas_3[n parc] = 999, contas_3[valor] *1 - contas_3[valor pago] , contas_3[valor]*contas_3[n parc] - contas_3[valor pago])
</f>
        <v>910.48</v>
      </c>
      <c r="I24" s="143">
        <f>IF(contas_3[valor pago]="",contas_3[n parc], IF(contas_3[n parc]=999, 999, IF(AND(contas_3[n parc]=1,contas_3[total devido]=0),contas_3[n parc]-1, IF(AND(contas_3[n parc]&gt;1, OR(contas_3[total devido]&lt;&gt;0,contas_3[total devido]=0)),contas_3[n parc]-1,contas_3[n parc]))))</f>
        <v>2</v>
      </c>
      <c r="J24" s="144" t="s">
        <v>13</v>
      </c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>
      <c r="A25" s="154" t="s">
        <v>45</v>
      </c>
      <c r="B25" s="155">
        <v>69.9</v>
      </c>
      <c r="C25" s="138">
        <v>69.9</v>
      </c>
      <c r="D25" s="147">
        <v>45807.0</v>
      </c>
      <c r="E25" s="148" t="str">
        <f>IF(contas_3[data]&lt;&gt;"",UPPER(TEXT(contas_3[data],"mmm")), "")</f>
        <v>MAI.</v>
      </c>
      <c r="F25" s="151">
        <v>20.0</v>
      </c>
      <c r="G25" s="151">
        <v>999.0</v>
      </c>
      <c r="H25" s="150">
        <f>IF(contas_3[n parc] = 999, contas_3[valor] *1 - contas_3[valor pago] , contas_3[valor]*contas_3[n parc] - contas_3[valor pago])
</f>
        <v>0</v>
      </c>
      <c r="I25" s="151">
        <f>IF(contas_3[valor pago]="",contas_3[n parc], IF(contas_3[n parc]=999, 999, IF(AND(contas_3[n parc]=1,contas_3[total devido]=0),contas_3[n parc]-1, IF(AND(contas_3[n parc]&gt;1, OR(contas_3[total devido]&lt;&gt;0,contas_3[total devido]=0)),contas_3[n parc]-1,contas_3[n parc]))))</f>
        <v>999</v>
      </c>
      <c r="J25" s="152" t="s">
        <v>13</v>
      </c>
      <c r="K25" s="169"/>
      <c r="L25" s="169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>
      <c r="A26" s="159" t="s">
        <v>46</v>
      </c>
      <c r="B26" s="168">
        <v>488.5</v>
      </c>
      <c r="C26" s="138">
        <v>488.5</v>
      </c>
      <c r="D26" s="139">
        <v>45821.0</v>
      </c>
      <c r="E26" s="164" t="str">
        <f>IF(contas_3[data]&lt;&gt;"",UPPER(TEXT(contas_3[data],"mmm")), "")</f>
        <v>JUN.</v>
      </c>
      <c r="F26" s="143">
        <v>20.0</v>
      </c>
      <c r="G26" s="143">
        <v>999.0</v>
      </c>
      <c r="H26" s="142">
        <f>IF(contas_3[n parc] = 999, contas_3[valor] *1 - contas_3[valor pago] , contas_3[valor]*contas_3[n parc] - contas_3[valor pago])
</f>
        <v>0</v>
      </c>
      <c r="I26" s="143">
        <f>IF(contas_3[valor pago]="",contas_3[n parc], IF(contas_3[n parc]=999, 999, IF(AND(contas_3[n parc]=1,contas_3[total devido]=0),contas_3[n parc]-1, IF(AND(contas_3[n parc]&gt;1, OR(contas_3[total devido]&lt;&gt;0,contas_3[total devido]=0)),contas_3[n parc]-1,contas_3[n parc]))))</f>
        <v>999</v>
      </c>
      <c r="J26" s="144" t="s">
        <v>13</v>
      </c>
      <c r="K26" s="169"/>
      <c r="L26" s="170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>
      <c r="A27" s="154" t="s">
        <v>44</v>
      </c>
      <c r="B27" s="146">
        <f>57.94+55.87</f>
        <v>113.81</v>
      </c>
      <c r="C27" s="138">
        <v>113.81</v>
      </c>
      <c r="D27" s="147">
        <v>45807.0</v>
      </c>
      <c r="E27" s="148" t="str">
        <f>IF(contas_3[data]&lt;&gt;"",UPPER(TEXT(contas_3[data],"mmm")), "")</f>
        <v>MAI.</v>
      </c>
      <c r="F27" s="151">
        <v>22.0</v>
      </c>
      <c r="G27" s="151">
        <v>999.0</v>
      </c>
      <c r="H27" s="150">
        <f>IF(contas_3[n parc] = 999, contas_3[valor] *1 - contas_3[valor pago] , contas_3[valor]*contas_3[n parc] - contas_3[valor pago])
</f>
        <v>0</v>
      </c>
      <c r="I27" s="151">
        <f>IF(contas_3[valor pago]="",contas_3[n parc], IF(contas_3[n parc]=999, 999, IF(AND(contas_3[n parc]=1,contas_3[total devido]=0),contas_3[n parc]-1, IF(AND(contas_3[n parc]&gt;1, OR(contas_3[total devido]&lt;&gt;0,contas_3[total devido]=0)),contas_3[n parc]-1,contas_3[n parc]))))</f>
        <v>999</v>
      </c>
      <c r="J27" s="152" t="s">
        <v>13</v>
      </c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>
      <c r="A28" s="159" t="s">
        <v>47</v>
      </c>
      <c r="B28" s="168">
        <v>666.57</v>
      </c>
      <c r="C28" s="138">
        <v>666.57</v>
      </c>
      <c r="D28" s="139">
        <v>45807.0</v>
      </c>
      <c r="E28" s="164" t="str">
        <f>IF(contas_3[data]&lt;&gt;"",UPPER(TEXT(contas_3[data],"mmm")), "")</f>
        <v>MAI.</v>
      </c>
      <c r="F28" s="143">
        <v>25.0</v>
      </c>
      <c r="G28" s="143">
        <v>999.0</v>
      </c>
      <c r="H28" s="142">
        <f>IF(contas_3[n parc] = 999, contas_3[valor] *1 - contas_3[valor pago] , contas_3[valor]*contas_3[n parc] - contas_3[valor pago])
</f>
        <v>0</v>
      </c>
      <c r="I28" s="143">
        <f>IF(contas_3[valor pago]="",contas_3[n parc], IF(contas_3[n parc]=999, 999, IF(AND(contas_3[n parc]=1,contas_3[total devido]=0),contas_3[n parc]-1, IF(AND(contas_3[n parc]&gt;1, OR(contas_3[total devido]&lt;&gt;0,contas_3[total devido]=0)),contas_3[n parc]-1,contas_3[n parc]))))</f>
        <v>999</v>
      </c>
      <c r="J28" s="144" t="s">
        <v>13</v>
      </c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>
      <c r="A29" s="181" t="s">
        <v>88</v>
      </c>
      <c r="B29" s="182">
        <v>3539.74</v>
      </c>
      <c r="C29" s="179">
        <v>3539.74</v>
      </c>
      <c r="D29" s="183">
        <v>45807.0</v>
      </c>
      <c r="E29" s="184" t="str">
        <f>IF(contas_3[data]&lt;&gt;"",UPPER(TEXT(contas_3[data],"mmm")), "")</f>
        <v>MAI.</v>
      </c>
      <c r="F29" s="185">
        <v>25.0</v>
      </c>
      <c r="G29" s="186">
        <v>1.0</v>
      </c>
      <c r="H29" s="187">
        <f>IF(contas_3[n parc] = 999, contas_3[valor] *1 - contas_3[valor pago] , contas_3[valor]*contas_3[n parc] - contas_3[valor pago])
</f>
        <v>0</v>
      </c>
      <c r="I29" s="185">
        <f>IF(contas_3[valor pago]="",contas_3[n parc], IF(contas_3[n parc]=999, 999, IF(AND(contas_3[n parc]=1,contas_3[total devido]=0),contas_3[n parc]-1, IF(AND(contas_3[n parc]&gt;1, OR(contas_3[total devido]&lt;&gt;0,contas_3[total devido]=0)),contas_3[n parc]-1,contas_3[n parc]))))</f>
        <v>0</v>
      </c>
      <c r="J29" s="188" t="s">
        <v>15</v>
      </c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>
      <c r="C30" s="93"/>
      <c r="D30" s="93"/>
      <c r="E30" s="93"/>
      <c r="F30" s="93"/>
      <c r="G30" s="93"/>
      <c r="H30" s="93"/>
      <c r="I30" s="93"/>
      <c r="J30" s="93"/>
      <c r="K30" s="93"/>
    </row>
    <row r="31">
      <c r="C31" s="93"/>
      <c r="D31" s="93"/>
      <c r="E31" s="93"/>
      <c r="F31" s="93"/>
      <c r="G31" s="93"/>
      <c r="H31" s="93"/>
      <c r="I31" s="93"/>
      <c r="J31" s="93"/>
    </row>
    <row r="32">
      <c r="C32" s="93"/>
      <c r="D32" s="93"/>
      <c r="E32" s="93"/>
      <c r="F32" s="93"/>
      <c r="G32" s="93"/>
      <c r="H32" s="93"/>
      <c r="I32" s="93"/>
      <c r="J32" s="93"/>
    </row>
    <row r="33">
      <c r="C33" s="93"/>
      <c r="D33" s="93"/>
      <c r="E33" s="93"/>
      <c r="F33" s="93"/>
      <c r="G33" s="93"/>
      <c r="H33" s="93"/>
      <c r="I33" s="93"/>
      <c r="J33" s="93"/>
    </row>
    <row r="34">
      <c r="C34" s="93"/>
      <c r="D34" s="93"/>
      <c r="E34" s="93"/>
      <c r="F34" s="93"/>
      <c r="G34" s="93"/>
      <c r="H34" s="93"/>
      <c r="I34" s="93"/>
      <c r="J34" s="93"/>
    </row>
    <row r="35">
      <c r="A35" s="93"/>
      <c r="B35" s="93"/>
      <c r="C35" s="93"/>
      <c r="D35" s="93"/>
      <c r="E35" s="93"/>
      <c r="F35" s="93"/>
      <c r="G35" s="93"/>
      <c r="H35" s="93"/>
      <c r="I35" s="93"/>
      <c r="J35" s="93"/>
    </row>
  </sheetData>
  <conditionalFormatting sqref="C1:C29">
    <cfRule type="notContainsBlanks" dxfId="0" priority="1">
      <formula>LEN(TRIM(C1))&gt;0</formula>
    </cfRule>
  </conditionalFormatting>
  <dataValidations>
    <dataValidation type="list" allowBlank="1" sqref="J2:J29">
      <formula1>"debito,cartao,a pagar,pagamento,investimento"</formula1>
    </dataValidation>
    <dataValidation type="custom" allowBlank="1" showDropDown="1" sqref="D2:D29">
      <formula1>OR(NOT(ISERROR(DATEVALUE(D2))), AND(ISNUMBER(D2), LEFT(CELL("format", D2))="D"))</formula1>
    </dataValidation>
    <dataValidation type="custom" allowBlank="1" showDropDown="1" sqref="M2:M14 B2:C29 F2:I29">
      <formula1>AND(ISNUMBER(B2),(NOT(OR(NOT(ISERROR(DATEVALUE(B2))), AND(ISNUMBER(B2), LEFT(CELL("format", B2))="D")))))</formula1>
    </dataValidation>
  </dataValidations>
  <drawing r:id="rId1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7.88"/>
    <col customWidth="1" min="2" max="2" width="12.75"/>
    <col customWidth="1" min="3" max="3" width="15.75"/>
    <col customWidth="1" min="4" max="4" width="12.38"/>
    <col customWidth="1" min="5" max="5" width="9.0"/>
    <col customWidth="1" min="6" max="6" width="10.5"/>
    <col customWidth="1" min="7" max="7" width="10.88"/>
    <col customWidth="1" min="8" max="8" width="15.75"/>
    <col customWidth="1" min="9" max="9" width="11.25"/>
    <col customWidth="1" min="10" max="10" width="14.63"/>
    <col customWidth="1" min="11" max="11" width="5.75"/>
    <col customWidth="1" min="12" max="12" width="14.88"/>
    <col customWidth="1" min="13" max="13" width="17.5"/>
  </cols>
  <sheetData>
    <row r="1">
      <c r="A1" s="132" t="s">
        <v>0</v>
      </c>
      <c r="B1" s="133" t="s">
        <v>1</v>
      </c>
      <c r="C1" s="134" t="s">
        <v>2</v>
      </c>
      <c r="D1" s="133" t="s">
        <v>3</v>
      </c>
      <c r="E1" s="133" t="s">
        <v>4</v>
      </c>
      <c r="F1" s="133" t="s">
        <v>5</v>
      </c>
      <c r="G1" s="133" t="s">
        <v>6</v>
      </c>
      <c r="H1" s="133" t="s">
        <v>7</v>
      </c>
      <c r="I1" s="133" t="s">
        <v>8</v>
      </c>
      <c r="J1" s="135" t="s">
        <v>9</v>
      </c>
      <c r="K1" s="93"/>
      <c r="L1" s="9" t="s">
        <v>10</v>
      </c>
      <c r="M1" s="10" t="s">
        <v>11</v>
      </c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>
      <c r="A2" s="136" t="s">
        <v>31</v>
      </c>
      <c r="B2" s="153">
        <f>451.16+80.74+50+100.25+300</f>
        <v>982.15</v>
      </c>
      <c r="C2" s="138">
        <v>982.15</v>
      </c>
      <c r="D2" s="139">
        <v>45838.0</v>
      </c>
      <c r="E2" s="140" t="str">
        <f>IF(contas_4[data]&lt;&gt;"",UPPER(TEXT(contas_4[data],"mmm")), "")</f>
        <v>JUN.</v>
      </c>
      <c r="F2" s="189">
        <v>1.0</v>
      </c>
      <c r="G2" s="141">
        <v>999.0</v>
      </c>
      <c r="H2" s="142">
        <f>IF(contas_4[n parc] = 999, contas_4[valor] *1 - contas_4[valor pago] , contas_4[valor]*contas_4[n parc] - contas_4[valor pago])
</f>
        <v>0</v>
      </c>
      <c r="I2" s="143">
        <f>IF(contas_4[valor pago]="",contas_4[n parc], IF(contas_4[n parc]=999, 999, IF(AND(contas_4[n parc]=1,contas_4[total devido]=0),contas_4[n parc]-1, IF(AND(contas_4[n parc]&gt;1, OR(contas_4[total devido]&lt;&gt;0,contas_4[total devido]=0)),contas_4[n parc]-1,contas_4[n parc]))))</f>
        <v>999</v>
      </c>
      <c r="J2" s="144" t="s">
        <v>79</v>
      </c>
      <c r="K2" s="93"/>
      <c r="L2" s="20" t="s">
        <v>14</v>
      </c>
      <c r="M2" s="21">
        <f>SUM(contas_4[valor])-SUMIF(contas_4[pago em], "cartao", contas_4[valor])-SUMIF(contas_4[pago em], "pagamento", contas_4[valor])</f>
        <v>7845.12</v>
      </c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>
      <c r="A3" s="154" t="s">
        <v>22</v>
      </c>
      <c r="B3" s="146">
        <v>20.9</v>
      </c>
      <c r="C3" s="138">
        <v>20.9</v>
      </c>
      <c r="D3" s="147">
        <v>45853.0</v>
      </c>
      <c r="E3" s="158" t="str">
        <f>IF(contas_4[data]&lt;&gt;"",UPPER(TEXT(contas_4[data],"mmm")), "")</f>
        <v>JUL.</v>
      </c>
      <c r="F3" s="190">
        <v>1.0</v>
      </c>
      <c r="G3" s="151">
        <v>999.0</v>
      </c>
      <c r="H3" s="150">
        <f>IF(contas_4[n parc] = 999, contas_4[valor] *1 - contas_4[valor pago] , contas_4[valor]*contas_4[n parc] - contas_4[valor pago])
</f>
        <v>0</v>
      </c>
      <c r="I3" s="151">
        <f>IF(contas_4[valor pago]="",contas_4[n parc], IF(contas_4[n parc]=999, 999, IF(AND(contas_4[n parc]=1,contas_4[total devido]=0),contas_4[n parc]-1, IF(AND(contas_4[n parc]&gt;1, OR(contas_4[total devido]&lt;&gt;0,contas_4[total devido]=0)),contas_4[n parc]-1,contas_4[n parc]))))</f>
        <v>999</v>
      </c>
      <c r="J3" s="152" t="s">
        <v>13</v>
      </c>
      <c r="K3" s="93"/>
      <c r="L3" s="31" t="s">
        <v>16</v>
      </c>
      <c r="M3" s="32">
        <f>(SUM(contas_4[valor])-SUMIF(contas_4[pago em], "cartao", contas_4[valor])-SUMIF(contas_4[pago em], "pagamento", contas_4[valor]))-(SUM(contas_4[valor pago])-SUMIF(contas_4[pago em], "cartao", contas_4[valor])-SUMIF(contas_4[pago em], "pagamento", contas_4[valor]))</f>
        <v>683.25</v>
      </c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>
      <c r="A4" s="136" t="s">
        <v>89</v>
      </c>
      <c r="B4" s="168">
        <v>2982.0</v>
      </c>
      <c r="C4" s="138">
        <v>2982.0</v>
      </c>
      <c r="D4" s="139">
        <v>45838.0</v>
      </c>
      <c r="E4" s="140" t="str">
        <f>IF(contas_4[data]&lt;&gt;"",UPPER(TEXT(contas_4[data],"mmm")), "")</f>
        <v>JUN.</v>
      </c>
      <c r="F4" s="189">
        <v>1.0</v>
      </c>
      <c r="G4" s="141">
        <v>1.0</v>
      </c>
      <c r="H4" s="142">
        <f>IF(contas_4[n parc] = 999, contas_4[valor] *1 - contas_4[valor pago] , contas_4[valor]*contas_4[n parc] - contas_4[valor pago])
</f>
        <v>0</v>
      </c>
      <c r="I4" s="143">
        <f>IF(contas_4[valor pago]="",contas_4[n parc], IF(contas_4[n parc]=999, 999, IF(AND(contas_4[n parc]=1,contas_4[total devido]=0),contas_4[n parc]-1, IF(AND(contas_4[n parc]&gt;1, OR(contas_4[total devido]&lt;&gt;0,contas_4[total devido]=0)),contas_4[n parc]-1,contas_4[n parc]))))</f>
        <v>0</v>
      </c>
      <c r="J4" s="144" t="s">
        <v>15</v>
      </c>
      <c r="K4" s="93"/>
      <c r="L4" s="20" t="s">
        <v>19</v>
      </c>
      <c r="M4" s="21">
        <f>SUMIF(contas_4[pago em], "pagamento", contas_4[valor])</f>
        <v>7449.27</v>
      </c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>
      <c r="A5" s="154" t="s">
        <v>17</v>
      </c>
      <c r="B5" s="146">
        <v>84.1</v>
      </c>
      <c r="C5" s="138">
        <v>84.1</v>
      </c>
      <c r="D5" s="147">
        <v>45838.0</v>
      </c>
      <c r="E5" s="148" t="str">
        <f>IF(contas_4[data]&lt;&gt;"",UPPER(TEXT(contas_4[data],"mmm")), "")</f>
        <v>JUN.</v>
      </c>
      <c r="F5" s="190">
        <v>1.0</v>
      </c>
      <c r="G5" s="151">
        <v>999.0</v>
      </c>
      <c r="H5" s="150">
        <f>IF(contas_4[n parc] = 999, contas_4[valor] *1 - contas_4[valor pago] , contas_4[valor]*contas_4[n parc] - contas_4[valor pago])
</f>
        <v>0</v>
      </c>
      <c r="I5" s="151">
        <f>IF(contas_4[valor pago]="",contas_4[n parc], IF(contas_4[n parc]=999, 999, IF(AND(contas_4[n parc]=1,contas_4[total devido]=0),contas_4[n parc]-1, IF(AND(contas_4[n parc]&gt;1, OR(contas_4[total devido]&lt;&gt;0,contas_4[total devido]=0)),contas_4[n parc]-1,contas_4[n parc]))))</f>
        <v>999</v>
      </c>
      <c r="J5" s="152" t="s">
        <v>13</v>
      </c>
      <c r="K5" s="93"/>
      <c r="L5" s="31" t="s">
        <v>21</v>
      </c>
      <c r="M5" s="37">
        <f>SUM(contas_4[total devido])</f>
        <v>7785.55</v>
      </c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>
      <c r="A6" s="159" t="s">
        <v>76</v>
      </c>
      <c r="B6" s="168">
        <v>0.0</v>
      </c>
      <c r="C6" s="160"/>
      <c r="D6" s="161"/>
      <c r="E6" s="164" t="str">
        <f>IF(contas_4[data]&lt;&gt;"",UPPER(TEXT(contas_4[data],"mmm")), "")</f>
        <v/>
      </c>
      <c r="F6" s="191">
        <v>1.0</v>
      </c>
      <c r="G6" s="143">
        <v>999.0</v>
      </c>
      <c r="H6" s="142">
        <f>IF(contas_4[n parc] = 999, contas_4[valor] *1 - contas_4[valor pago] , contas_4[valor]*contas_4[n parc] - contas_4[valor pago])
</f>
        <v>0</v>
      </c>
      <c r="I6" s="143">
        <f>IF(contas_4[valor pago]="",contas_4[n parc], IF(contas_4[n parc]=999, 999, IF(AND(contas_4[n parc]=1,contas_4[total devido]=0),contas_4[n parc]-1, IF(AND(contas_4[n parc]&gt;1, OR(contas_4[total devido]&lt;&gt;0,contas_4[total devido]=0)),contas_4[n parc]-1,contas_4[n parc]))))</f>
        <v>999</v>
      </c>
      <c r="J6" s="144" t="s">
        <v>37</v>
      </c>
      <c r="K6" s="93"/>
      <c r="L6" s="20" t="s">
        <v>23</v>
      </c>
      <c r="M6" s="21">
        <f>IF(SUMIF(contas_4[pago em], "debito",contas_4[valor pago]) &gt; ((SUMIF(contas_4[pago em], "pagamento", contas_4[valor]))-(SUMIF(contas_4[pago em], "investimento", contas_4[valor]))), -(SUMIF(contas_4[pago em], "debito",contas_4[valor pago]) - ((SUMIF(contas_4[pago em], "pagamento", contas_4[valor]))-(SUMIF(contas_4[pago em], "investimento", contas_4[valor])))), ((SUMIF(contas_4[pago em], "pagamento", contas_4[valor]))-(SUMIF(contas_4[pago em], "investimento", contas_4[valor]))) - SUMIF(contas_4[pago em], "debito",contas_4[valor pago]))</f>
        <v>286.7</v>
      </c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>
      <c r="A7" s="145" t="s">
        <v>15</v>
      </c>
      <c r="B7" s="180">
        <v>1529.6</v>
      </c>
      <c r="C7" s="138">
        <v>1529.6</v>
      </c>
      <c r="D7" s="147">
        <v>45838.0</v>
      </c>
      <c r="E7" s="158" t="str">
        <f>IF(contas_4[data]&lt;&gt;"",UPPER(TEXT(contas_4[data],"mmm")), "")</f>
        <v>JUN.</v>
      </c>
      <c r="F7" s="192">
        <v>1.0</v>
      </c>
      <c r="G7" s="149">
        <v>999.0</v>
      </c>
      <c r="H7" s="150">
        <f>IF(contas_4[n parc] = 999, contas_4[valor] *1 - contas_4[valor pago] , contas_4[valor]*contas_4[n parc] - contas_4[valor pago])
</f>
        <v>0</v>
      </c>
      <c r="I7" s="151">
        <f>IF(contas_4[valor pago]="",contas_4[n parc], IF(contas_4[n parc]=999, 999, IF(AND(contas_4[n parc]=1,contas_4[total devido]=0),contas_4[n parc]-1, IF(AND(contas_4[n parc]&gt;1, OR(contas_4[total devido]&lt;&gt;0,contas_4[total devido]=0)),contas_4[n parc]-1,contas_4[n parc]))))</f>
        <v>999</v>
      </c>
      <c r="J7" s="152" t="s">
        <v>15</v>
      </c>
      <c r="K7" s="93"/>
      <c r="L7" s="31" t="s">
        <v>25</v>
      </c>
      <c r="M7" s="32">
        <f>SUM(contas_4[valor pago])-SUMIF(contas_4[pago em], "cartao", contas_4[valor])-SUMIF(contas_4[pago em], "pagamento", contas_4[valor])</f>
        <v>7161.87</v>
      </c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>
      <c r="A8" s="159" t="s">
        <v>59</v>
      </c>
      <c r="B8" s="168">
        <v>294.75</v>
      </c>
      <c r="C8" s="138">
        <v>294.75</v>
      </c>
      <c r="D8" s="139">
        <v>45834.0</v>
      </c>
      <c r="E8" s="164" t="str">
        <f>IF(contas_4[data]&lt;&gt;"",UPPER(TEXT(contas_4[data],"mmm")), "")</f>
        <v>JUN.</v>
      </c>
      <c r="F8" s="189">
        <v>1.0</v>
      </c>
      <c r="G8" s="141">
        <v>999.0</v>
      </c>
      <c r="H8" s="142">
        <f>IF(contas_4[n parc] = 999, contas_4[valor] *1 - contas_4[valor pago] , contas_4[valor]*contas_4[n parc] - contas_4[valor pago])
</f>
        <v>0</v>
      </c>
      <c r="I8" s="143">
        <f>IF(contas_4[valor pago]="",contas_4[n parc], IF(contas_4[n parc]=999, 999, IF(AND(contas_4[n parc]=1,contas_4[total devido]=0),contas_4[n parc]-1, IF(AND(contas_4[n parc]&gt;1, OR(contas_4[total devido]&lt;&gt;0,contas_4[total devido]=0)),contas_4[n parc]-1,contas_4[n parc]))))</f>
        <v>999</v>
      </c>
      <c r="J8" s="144" t="s">
        <v>13</v>
      </c>
      <c r="K8" s="93"/>
      <c r="L8" s="40" t="s">
        <v>27</v>
      </c>
      <c r="M8" s="21">
        <f>SUMIF(contas_4[pago em], "cartao", contas_4[valor])</f>
        <v>979.91</v>
      </c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>
      <c r="A9" s="154" t="s">
        <v>24</v>
      </c>
      <c r="B9" s="146">
        <v>359.42</v>
      </c>
      <c r="C9" s="138">
        <v>359.42</v>
      </c>
      <c r="D9" s="147">
        <v>45835.0</v>
      </c>
      <c r="E9" s="148" t="str">
        <f>IF(contas_4[data]&lt;&gt;"",UPPER(TEXT(contas_4[data],"mmm")), "")</f>
        <v>JUN.</v>
      </c>
      <c r="F9" s="192">
        <v>2.0</v>
      </c>
      <c r="G9" s="151">
        <v>999.0</v>
      </c>
      <c r="H9" s="150">
        <f>IF(contas_4[n parc] = 999, contas_4[valor] *1 - contas_4[valor pago] , contas_4[valor]*contas_4[n parc] - contas_4[valor pago])
</f>
        <v>0</v>
      </c>
      <c r="I9" s="151">
        <f>IF(contas_4[valor pago]="",contas_4[n parc], IF(contas_4[n parc]=999, 999, IF(AND(contas_4[n parc]=1,contas_4[total devido]=0),contas_4[n parc]-1, IF(AND(contas_4[n parc]&gt;1, OR(contas_4[total devido]&lt;&gt;0,contas_4[total devido]=0)),contas_4[n parc]-1,contas_4[n parc]))))</f>
        <v>999</v>
      </c>
      <c r="J9" s="152" t="s">
        <v>13</v>
      </c>
      <c r="K9" s="93"/>
      <c r="L9" s="31" t="s">
        <v>29</v>
      </c>
      <c r="M9" s="32">
        <f>SUMIF(contas_4[pago em], "pagamento", contas_4[valor])*10%</f>
        <v>744.927</v>
      </c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>
      <c r="A10" s="159" t="s">
        <v>26</v>
      </c>
      <c r="B10" s="168">
        <f>109.99+109.99+109.99</f>
        <v>329.97</v>
      </c>
      <c r="C10" s="138">
        <v>329.27</v>
      </c>
      <c r="D10" s="139">
        <v>45837.0</v>
      </c>
      <c r="E10" s="164" t="str">
        <f>IF(contas_4[data]&lt;&gt;"",UPPER(TEXT(contas_4[data],"mmm")), "")</f>
        <v>JUN.</v>
      </c>
      <c r="F10" s="191">
        <v>4.0</v>
      </c>
      <c r="G10" s="141">
        <v>999.0</v>
      </c>
      <c r="H10" s="142">
        <f>IF(contas_4[n parc] = 999, contas_4[valor] *1 - contas_4[valor pago] , contas_4[valor]*contas_4[n parc] - contas_4[valor pago])
</f>
        <v>0.7</v>
      </c>
      <c r="I10" s="143">
        <f>IF(contas_4[valor pago]="",contas_4[n parc], IF(contas_4[n parc]=999, 999, IF(AND(contas_4[n parc]=1,contas_4[total devido]=0),contas_4[n parc]-1, IF(AND(contas_4[n parc]&gt;1, OR(contas_4[total devido]&lt;&gt;0,contas_4[total devido]=0)),contas_4[n parc]-1,contas_4[n parc]))))</f>
        <v>999</v>
      </c>
      <c r="J10" s="144" t="s">
        <v>18</v>
      </c>
      <c r="K10" s="93"/>
      <c r="L10" s="20" t="s">
        <v>31</v>
      </c>
      <c r="M10" s="21">
        <f>SUMIF(contas_4[pago em], "investimento", contas_4[valor])</f>
        <v>982.15</v>
      </c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</row>
    <row r="11">
      <c r="A11" s="154" t="s">
        <v>67</v>
      </c>
      <c r="B11" s="155">
        <v>39.75</v>
      </c>
      <c r="C11" s="138">
        <v>39.75</v>
      </c>
      <c r="D11" s="147">
        <v>45842.0</v>
      </c>
      <c r="E11" s="148" t="str">
        <f>IF(contas_4[data]&lt;&gt;"",UPPER(TEXT(contas_4[data],"mmm")), "")</f>
        <v>JUL.</v>
      </c>
      <c r="F11" s="190">
        <v>4.0</v>
      </c>
      <c r="G11" s="149">
        <v>9.0</v>
      </c>
      <c r="H11" s="150">
        <f>IF(contas_4[n parc] = 999, contas_4[valor] *1 - contas_4[valor pago] , contas_4[valor]*contas_4[n parc] - contas_4[valor pago])
</f>
        <v>318</v>
      </c>
      <c r="I11" s="151">
        <f>IF(contas_4[valor pago]="",contas_4[n parc], IF(contas_4[n parc]=999, 999, IF(AND(contas_4[n parc]=1,contas_4[total devido]=0),contas_4[n parc]-1, IF(AND(contas_4[n parc]&gt;1, OR(contas_4[total devido]&lt;&gt;0,contas_4[total devido]=0)),contas_4[n parc]-1,contas_4[n parc]))))</f>
        <v>8</v>
      </c>
      <c r="J11" s="152" t="s">
        <v>18</v>
      </c>
      <c r="K11" s="93"/>
      <c r="L11" s="31" t="s">
        <v>33</v>
      </c>
      <c r="M11" s="48">
        <v>1917.0</v>
      </c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>
      <c r="A12" s="136" t="s">
        <v>59</v>
      </c>
      <c r="B12" s="168">
        <v>301.01</v>
      </c>
      <c r="C12" s="138">
        <v>301.01</v>
      </c>
      <c r="D12" s="139">
        <v>45834.0</v>
      </c>
      <c r="E12" s="164" t="str">
        <f>IF(contas_4[data]&lt;&gt;"",UPPER(TEXT(contas_4[data],"mmm")), "")</f>
        <v>JUN.</v>
      </c>
      <c r="F12" s="189">
        <v>4.0</v>
      </c>
      <c r="G12" s="141">
        <v>1.0</v>
      </c>
      <c r="H12" s="142">
        <f>IF(contas_4[n parc] = 999, contas_4[valor] *1 - contas_4[valor pago] , contas_4[valor]*contas_4[n parc] - contas_4[valor pago])
</f>
        <v>0</v>
      </c>
      <c r="I12" s="143">
        <f>IF(contas_4[valor pago]="",contas_4[n parc], IF(contas_4[n parc]=999, 999, IF(AND(contas_4[n parc]=1,contas_4[total devido]=0),contas_4[n parc]-1, IF(AND(contas_4[n parc]&gt;1, OR(contas_4[total devido]&lt;&gt;0,contas_4[total devido]=0)),contas_4[n parc]-1,contas_4[n parc]))))</f>
        <v>0</v>
      </c>
      <c r="J12" s="144" t="s">
        <v>13</v>
      </c>
      <c r="K12" s="93"/>
      <c r="L12" s="49" t="s">
        <v>35</v>
      </c>
      <c r="M12" s="21">
        <f>600+317+139</f>
        <v>1056</v>
      </c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>
      <c r="A13" s="154" t="s">
        <v>52</v>
      </c>
      <c r="B13" s="146">
        <v>333.86</v>
      </c>
      <c r="C13" s="138">
        <v>333.86</v>
      </c>
      <c r="D13" s="147">
        <v>45834.0</v>
      </c>
      <c r="E13" s="148" t="str">
        <f>IF(contas_4[data]&lt;&gt;"",UPPER(TEXT(contas_4[data],"mmm")), "")</f>
        <v>JUN.</v>
      </c>
      <c r="F13" s="190">
        <v>9.0</v>
      </c>
      <c r="G13" s="149">
        <v>9.0</v>
      </c>
      <c r="H13" s="150">
        <f>IF(contas_4[n parc] = 999, contas_4[valor] *1 - contas_4[valor pago] , contas_4[valor]*contas_4[n parc] - contas_4[valor pago])
</f>
        <v>2670.88</v>
      </c>
      <c r="I13" s="151">
        <f>IF(contas_4[valor pago]="",contas_4[n parc], IF(contas_4[n parc]=999, 999, IF(AND(contas_4[n parc]=1,contas_4[total devido]=0),contas_4[n parc]-1, IF(AND(contas_4[n parc]&gt;1, OR(contas_4[total devido]&lt;&gt;0,contas_4[total devido]=0)),contas_4[n parc]-1,contas_4[n parc]))))</f>
        <v>8</v>
      </c>
      <c r="J13" s="152" t="s">
        <v>13</v>
      </c>
      <c r="K13" s="93"/>
      <c r="L13" s="165" t="s">
        <v>38</v>
      </c>
      <c r="M13" s="32">
        <v>1000.0</v>
      </c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>
      <c r="A14" s="159" t="s">
        <v>34</v>
      </c>
      <c r="B14" s="168">
        <v>189.0</v>
      </c>
      <c r="C14" s="138">
        <v>189.0</v>
      </c>
      <c r="D14" s="139">
        <v>45853.0</v>
      </c>
      <c r="E14" s="164" t="str">
        <f>IF(contas_4[data]&lt;&gt;"",UPPER(TEXT(contas_4[data],"mmm")), "")</f>
        <v>JUL.</v>
      </c>
      <c r="F14" s="191">
        <v>10.0</v>
      </c>
      <c r="G14" s="143">
        <v>999.0</v>
      </c>
      <c r="H14" s="142">
        <f>IF(contas_4[n parc] = 999, contas_4[valor] *1 - contas_4[valor pago] , contas_4[valor]*contas_4[n parc] - contas_4[valor pago])
</f>
        <v>0</v>
      </c>
      <c r="I14" s="143">
        <f>IF(contas_4[valor pago]="",contas_4[n parc], IF(contas_4[n parc]=999, 999, IF(AND(contas_4[n parc]=1,contas_4[total devido]=0),contas_4[n parc]-1, IF(AND(contas_4[n parc]&gt;1, OR(contas_4[total devido]&lt;&gt;0,contas_4[total devido]=0)),contas_4[n parc]-1,contas_4[n parc]))))</f>
        <v>999</v>
      </c>
      <c r="J14" s="144" t="s">
        <v>13</v>
      </c>
      <c r="K14" s="93"/>
      <c r="L14" s="178" t="s">
        <v>80</v>
      </c>
      <c r="M14" s="167">
        <f>SUMIF(contas_4[n parc], "999", contas_4[valor])-SUMIF(contas_4[pago em], "pagamento", contas_4[valor])</f>
        <v>1824.6</v>
      </c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>
      <c r="A15" s="154" t="s">
        <v>36</v>
      </c>
      <c r="B15" s="146">
        <v>121.13</v>
      </c>
      <c r="C15" s="138">
        <v>121.13</v>
      </c>
      <c r="D15" s="147">
        <v>45838.0</v>
      </c>
      <c r="E15" s="148" t="str">
        <f>IF(contas_4[data]&lt;&gt;"",UPPER(TEXT(contas_4[data],"mmm")), "")</f>
        <v>JUN.</v>
      </c>
      <c r="F15" s="190">
        <v>13.0</v>
      </c>
      <c r="G15" s="151">
        <v>999.0</v>
      </c>
      <c r="H15" s="150">
        <f>IF(contas_4[n parc] = 999, contas_4[valor] *1 - contas_4[valor pago] , contas_4[valor]*contas_4[n parc] - contas_4[valor pago])
</f>
        <v>0</v>
      </c>
      <c r="I15" s="151">
        <f>IF(contas_4[valor pago]="",contas_4[n parc], IF(contas_4[n parc]=999, 999, IF(AND(contas_4[n parc]=1,contas_4[total devido]=0),contas_4[n parc]-1, IF(AND(contas_4[n parc]&gt;1, OR(contas_4[total devido]&lt;&gt;0,contas_4[total devido]=0)),contas_4[n parc]-1,contas_4[n parc]))))</f>
        <v>999</v>
      </c>
      <c r="J15" s="152" t="s">
        <v>13</v>
      </c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>
      <c r="A16" s="136" t="s">
        <v>84</v>
      </c>
      <c r="B16" s="168">
        <v>2937.67</v>
      </c>
      <c r="C16" s="138">
        <v>2937.67</v>
      </c>
      <c r="D16" s="139">
        <v>45853.0</v>
      </c>
      <c r="E16" s="164" t="str">
        <f>IF(contas_4[data]&lt;&gt;"",UPPER(TEXT(contas_4[data],"mmm")), "")</f>
        <v>JUL.</v>
      </c>
      <c r="F16" s="189">
        <v>15.0</v>
      </c>
      <c r="G16" s="141">
        <v>999.0</v>
      </c>
      <c r="H16" s="142">
        <f>IF(contas_4[n parc] = 999, contas_4[valor] *1 - contas_4[valor pago] , contas_4[valor]*contas_4[n parc] - contas_4[valor pago])
</f>
        <v>0</v>
      </c>
      <c r="I16" s="143">
        <f>IF(contas_4[valor pago]="",contas_4[n parc], IF(contas_4[n parc]=999, 999, IF(AND(contas_4[n parc]=1,contas_4[total devido]=0),contas_4[n parc]-1, IF(AND(contas_4[n parc]&gt;1, OR(contas_4[total devido]&lt;&gt;0,contas_4[total devido]=0)),contas_4[n parc]-1,contas_4[n parc]))))</f>
        <v>999</v>
      </c>
      <c r="J16" s="144" t="s">
        <v>15</v>
      </c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>
      <c r="A17" s="154" t="s">
        <v>40</v>
      </c>
      <c r="B17" s="146">
        <v>450.0</v>
      </c>
      <c r="C17" s="138">
        <v>450.0</v>
      </c>
      <c r="D17" s="147">
        <v>45853.0</v>
      </c>
      <c r="E17" s="148" t="str">
        <f>IF(contas_4[data]&lt;&gt;"",UPPER(TEXT(contas_4[data],"mmm")), "")</f>
        <v>JUL.</v>
      </c>
      <c r="F17" s="190">
        <v>15.0</v>
      </c>
      <c r="G17" s="151">
        <v>999.0</v>
      </c>
      <c r="H17" s="150">
        <f>IF(contas_4[n parc] = 999, contas_4[valor] *1 - contas_4[valor pago] , contas_4[valor]*contas_4[n parc] - contas_4[valor pago])
</f>
        <v>0</v>
      </c>
      <c r="I17" s="151">
        <f>IF(contas_4[valor pago]="",contas_4[n parc], IF(contas_4[n parc]=999, 999, IF(AND(contas_4[n parc]=1,contas_4[total devido]=0),contas_4[n parc]-1, IF(AND(contas_4[n parc]&gt;1, OR(contas_4[total devido]&lt;&gt;0,contas_4[total devido]=0)),contas_4[n parc]-1,contas_4[n parc]))))</f>
        <v>999</v>
      </c>
      <c r="J17" s="152" t="s">
        <v>13</v>
      </c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>
      <c r="A18" s="136" t="s">
        <v>90</v>
      </c>
      <c r="B18" s="168">
        <f>212.89+150</f>
        <v>362.89</v>
      </c>
      <c r="C18" s="138">
        <v>362.89</v>
      </c>
      <c r="D18" s="139">
        <v>45834.0</v>
      </c>
      <c r="E18" s="164" t="str">
        <f>IF(contas_4[data]&lt;&gt;"",UPPER(TEXT(contas_4[data],"mmm")), "")</f>
        <v>JUN.</v>
      </c>
      <c r="F18" s="191">
        <v>15.0</v>
      </c>
      <c r="G18" s="141">
        <v>6.0</v>
      </c>
      <c r="H18" s="142">
        <f>IF(contas_4[n parc] = 999, contas_4[valor] *1 - contas_4[valor pago] , contas_4[valor]*contas_4[n parc] - contas_4[valor pago])
</f>
        <v>1814.45</v>
      </c>
      <c r="I18" s="143">
        <f>IF(contas_4[valor pago]="",contas_4[n parc], IF(contas_4[n parc]=999, 999, IF(AND(contas_4[n parc]=1,contas_4[total devido]=0),contas_4[n parc]-1, IF(AND(contas_4[n parc]&gt;1, OR(contas_4[total devido]&lt;&gt;0,contas_4[total devido]=0)),contas_4[n parc]-1,contas_4[n parc]))))</f>
        <v>5</v>
      </c>
      <c r="J18" s="144" t="s">
        <v>13</v>
      </c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>
      <c r="A19" s="145" t="s">
        <v>91</v>
      </c>
      <c r="B19" s="146">
        <v>1662.63</v>
      </c>
      <c r="C19" s="138">
        <f>563.79+1098.84</f>
        <v>1662.63</v>
      </c>
      <c r="D19" s="147">
        <v>45838.0</v>
      </c>
      <c r="E19" s="148" t="str">
        <f>IF(contas_4[data]&lt;&gt;"",UPPER(TEXT(contas_4[data],"mmm")), "")</f>
        <v>JUN.</v>
      </c>
      <c r="F19" s="190">
        <v>15.0</v>
      </c>
      <c r="G19" s="149">
        <v>1.0</v>
      </c>
      <c r="H19" s="150">
        <f>IF(contas_4[n parc] = 999, contas_4[valor] *1 - contas_4[valor pago] , contas_4[valor]*contas_4[n parc] - contas_4[valor pago])
</f>
        <v>0</v>
      </c>
      <c r="I19" s="151">
        <f>IF(contas_4[valor pago]="",contas_4[n parc], IF(contas_4[n parc]=999, 999, IF(AND(contas_4[n parc]=1,contas_4[total devido]=0),contas_4[n parc]-1, IF(AND(contas_4[n parc]&gt;1, OR(contas_4[total devido]&lt;&gt;0,contas_4[total devido]=0)),contas_4[n parc]-1,contas_4[n parc]))))</f>
        <v>1</v>
      </c>
      <c r="J19" s="152" t="s">
        <v>13</v>
      </c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>
      <c r="A20" s="159" t="s">
        <v>43</v>
      </c>
      <c r="B20" s="168">
        <v>250.29</v>
      </c>
      <c r="C20" s="138">
        <v>250.29</v>
      </c>
      <c r="D20" s="139">
        <v>45834.0</v>
      </c>
      <c r="E20" s="164" t="str">
        <f>IF(contas_4[data]&lt;&gt;"",UPPER(TEXT(contas_4[data],"mmm")), "")</f>
        <v>JUN.</v>
      </c>
      <c r="F20" s="191">
        <v>16.0</v>
      </c>
      <c r="G20" s="141">
        <v>5.0</v>
      </c>
      <c r="H20" s="142">
        <f>IF(contas_4[n parc] = 999, contas_4[valor] *1 - contas_4[valor pago] , contas_4[valor]*contas_4[n parc] - contas_4[valor pago])
</f>
        <v>1001.16</v>
      </c>
      <c r="I20" s="143">
        <f>IF(contas_4[valor pago]="",contas_4[n parc], IF(contas_4[n parc]=999, 999, IF(AND(contas_4[n parc]=1,contas_4[total devido]=0),contas_4[n parc]-1, IF(AND(contas_4[n parc]&gt;1, OR(contas_4[total devido]&lt;&gt;0,contas_4[total devido]=0)),contas_4[n parc]-1,contas_4[n parc]))))</f>
        <v>4</v>
      </c>
      <c r="J20" s="144" t="s">
        <v>13</v>
      </c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>
      <c r="A21" s="154" t="s">
        <v>55</v>
      </c>
      <c r="B21" s="155">
        <v>210.0</v>
      </c>
      <c r="C21" s="138">
        <v>210.0</v>
      </c>
      <c r="D21" s="147">
        <v>45853.0</v>
      </c>
      <c r="E21" s="148" t="str">
        <f>IF(contas_4[data]&lt;&gt;"",UPPER(TEXT(contas_4[data],"mmm")), "")</f>
        <v>JUL.</v>
      </c>
      <c r="F21" s="190">
        <v>16.0</v>
      </c>
      <c r="G21" s="149">
        <v>5.0</v>
      </c>
      <c r="H21" s="150">
        <f>IF(contas_4[n parc] = 999, contas_4[valor] *1 - contas_4[valor pago] , contas_4[valor]*contas_4[n parc] - contas_4[valor pago])
</f>
        <v>840</v>
      </c>
      <c r="I21" s="151">
        <f>IF(contas_4[valor pago]="",contas_4[n parc], IF(contas_4[n parc]=999, 999, IF(AND(contas_4[n parc]=1,contas_4[total devido]=0),contas_4[n parc]-1, IF(AND(contas_4[n parc]&gt;1, OR(contas_4[total devido]&lt;&gt;0,contas_4[total devido]=0)),contas_4[n parc]-1,contas_4[n parc]))))</f>
        <v>4</v>
      </c>
      <c r="J21" s="152" t="s">
        <v>18</v>
      </c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>
      <c r="A22" s="159" t="s">
        <v>59</v>
      </c>
      <c r="B22" s="168">
        <v>400.19</v>
      </c>
      <c r="C22" s="138">
        <v>400.19</v>
      </c>
      <c r="D22" s="139">
        <v>45853.0</v>
      </c>
      <c r="E22" s="164" t="str">
        <f>IF(contas_4[data]&lt;&gt;"",UPPER(TEXT(contas_4[data],"mmm")), "")</f>
        <v>JUL.</v>
      </c>
      <c r="F22" s="189">
        <v>16.0</v>
      </c>
      <c r="G22" s="141">
        <v>1.0</v>
      </c>
      <c r="H22" s="142">
        <f>IF(contas_4[n parc] = 999, contas_4[valor] *1 - contas_4[valor pago] , contas_4[valor]*contas_4[n parc] - contas_4[valor pago])
</f>
        <v>0</v>
      </c>
      <c r="I22" s="143">
        <f>IF(contas_4[valor pago]="",contas_4[n parc], IF(contas_4[n parc]=999, 999, IF(AND(contas_4[n parc]=1,contas_4[total devido]=0),contas_4[n parc]-1, IF(AND(contas_4[n parc]&gt;1, OR(contas_4[total devido]&lt;&gt;0,contas_4[total devido]=0)),contas_4[n parc]-1,contas_4[n parc]))))</f>
        <v>0</v>
      </c>
      <c r="J22" s="144" t="s">
        <v>18</v>
      </c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>
      <c r="A23" s="154" t="s">
        <v>62</v>
      </c>
      <c r="B23" s="146">
        <v>457.81</v>
      </c>
      <c r="C23" s="138">
        <v>457.81</v>
      </c>
      <c r="D23" s="147">
        <v>45853.0</v>
      </c>
      <c r="E23" s="148" t="str">
        <f>IF(contas_4[data]&lt;&gt;"",UPPER(TEXT(contas_4[data],"mmm")), "")</f>
        <v>JUL.</v>
      </c>
      <c r="F23" s="190">
        <v>17.0</v>
      </c>
      <c r="G23" s="149">
        <v>2.0</v>
      </c>
      <c r="H23" s="150">
        <f>IF(contas_4[n parc] = 999, contas_4[valor] *1 - contas_4[valor pago] , contas_4[valor]*contas_4[n parc] - contas_4[valor pago])
</f>
        <v>457.81</v>
      </c>
      <c r="I23" s="151">
        <f>IF(contas_4[valor pago]="",contas_4[n parc], IF(contas_4[n parc]=999, 999, IF(AND(contas_4[n parc]=1,contas_4[total devido]=0),contas_4[n parc]-1, IF(AND(contas_4[n parc]&gt;1, OR(contas_4[total devido]&lt;&gt;0,contas_4[total devido]=0)),contas_4[n parc]-1,contas_4[n parc]))))</f>
        <v>1</v>
      </c>
      <c r="J23" s="152" t="s">
        <v>13</v>
      </c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>
      <c r="A24" s="159" t="s">
        <v>45</v>
      </c>
      <c r="B24" s="160">
        <v>69.9</v>
      </c>
      <c r="C24" s="138">
        <v>69.9</v>
      </c>
      <c r="D24" s="139">
        <v>45853.0</v>
      </c>
      <c r="E24" s="164" t="str">
        <f>IF(contas_4[data]&lt;&gt;"",UPPER(TEXT(contas_4[data],"mmm")), "")</f>
        <v>JUL.</v>
      </c>
      <c r="F24" s="191">
        <v>20.0</v>
      </c>
      <c r="G24" s="143">
        <v>999.0</v>
      </c>
      <c r="H24" s="142">
        <f>IF(contas_4[n parc] = 999, contas_4[valor] *1 - contas_4[valor pago] , contas_4[valor]*contas_4[n parc] - contas_4[valor pago])
</f>
        <v>0</v>
      </c>
      <c r="I24" s="143">
        <f>IF(contas_4[valor pago]="",contas_4[n parc], IF(contas_4[n parc]=999, 999, IF(AND(contas_4[n parc]=1,contas_4[total devido]=0),contas_4[n parc]-1, IF(AND(contas_4[n parc]&gt;1, OR(contas_4[total devido]&lt;&gt;0,contas_4[total devido]=0)),contas_4[n parc]-1,contas_4[n parc]))))</f>
        <v>999</v>
      </c>
      <c r="J24" s="144" t="s">
        <v>13</v>
      </c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>
      <c r="A25" s="154" t="s">
        <v>46</v>
      </c>
      <c r="B25" s="146">
        <v>1222.73</v>
      </c>
      <c r="C25" s="138">
        <v>1222.73</v>
      </c>
      <c r="D25" s="147">
        <v>45853.0</v>
      </c>
      <c r="E25" s="148" t="str">
        <f>IF(contas_4[data]&lt;&gt;"",UPPER(TEXT(contas_4[data],"mmm")), "")</f>
        <v>JUL.</v>
      </c>
      <c r="F25" s="190">
        <v>20.0</v>
      </c>
      <c r="G25" s="151">
        <v>999.0</v>
      </c>
      <c r="H25" s="150">
        <f>IF(contas_4[n parc] = 999, contas_4[valor] *1 - contas_4[valor pago] , contas_4[valor]*contas_4[n parc] - contas_4[valor pago])
</f>
        <v>0</v>
      </c>
      <c r="I25" s="151">
        <f>IF(contas_4[valor pago]="",contas_4[n parc], IF(contas_4[n parc]=999, 999, IF(AND(contas_4[n parc]=1,contas_4[total devido]=0),contas_4[n parc]-1, IF(AND(contas_4[n parc]&gt;1, OR(contas_4[total devido]&lt;&gt;0,contas_4[total devido]=0)),contas_4[n parc]-1,contas_4[n parc]))))</f>
        <v>999</v>
      </c>
      <c r="J25" s="152" t="s">
        <v>13</v>
      </c>
      <c r="K25" s="169"/>
      <c r="L25" s="170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>
      <c r="A26" s="159" t="s">
        <v>44</v>
      </c>
      <c r="B26" s="168">
        <v>62.55</v>
      </c>
      <c r="C26" s="168"/>
      <c r="D26" s="139"/>
      <c r="E26" s="164" t="str">
        <f>IF(contas_4[data]&lt;&gt;"",UPPER(TEXT(contas_4[data],"mmm")), "")</f>
        <v/>
      </c>
      <c r="F26" s="191">
        <v>22.0</v>
      </c>
      <c r="G26" s="143">
        <v>999.0</v>
      </c>
      <c r="H26" s="142">
        <f>IF(contas_4[n parc] = 999, contas_4[valor] *1 - contas_4[valor pago] , contas_4[valor]*contas_4[n parc] - contas_4[valor pago])
</f>
        <v>62.55</v>
      </c>
      <c r="I26" s="143">
        <f>IF(contas_4[valor pago]="",contas_4[n parc], IF(contas_4[n parc]=999, 999, IF(AND(contas_4[n parc]=1,contas_4[total devido]=0),contas_4[n parc]-1, IF(AND(contas_4[n parc]&gt;1, OR(contas_4[total devido]&lt;&gt;0,contas_4[total devido]=0)),contas_4[n parc]-1,contas_4[n parc]))))</f>
        <v>999</v>
      </c>
      <c r="J26" s="144" t="s">
        <v>37</v>
      </c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>
      <c r="A27" s="193" t="s">
        <v>47</v>
      </c>
      <c r="B27" s="194">
        <v>620.0</v>
      </c>
      <c r="C27" s="194"/>
      <c r="D27" s="195"/>
      <c r="E27" s="184" t="str">
        <f>IF(contas_4[data]&lt;&gt;"",UPPER(TEXT(contas_4[data],"mmm")), "")</f>
        <v/>
      </c>
      <c r="F27" s="196">
        <v>25.0</v>
      </c>
      <c r="G27" s="185">
        <v>999.0</v>
      </c>
      <c r="H27" s="187">
        <f>IF(contas_4[n parc] = 999, contas_4[valor] *1 - contas_4[valor pago] , contas_4[valor]*contas_4[n parc] - contas_4[valor pago])
</f>
        <v>620</v>
      </c>
      <c r="I27" s="185">
        <f>IF(contas_4[valor pago]="",contas_4[n parc], IF(contas_4[n parc]=999, 999, IF(AND(contas_4[n parc]=1,contas_4[total devido]=0),contas_4[n parc]-1, IF(AND(contas_4[n parc]&gt;1, OR(contas_4[total devido]&lt;&gt;0,contas_4[total devido]=0)),contas_4[n parc]-1,contas_4[n parc]))))</f>
        <v>999</v>
      </c>
      <c r="J27" s="188" t="s">
        <v>37</v>
      </c>
      <c r="K27" s="93"/>
    </row>
    <row r="28">
      <c r="C28" s="93"/>
      <c r="D28" s="93"/>
      <c r="E28" s="93"/>
      <c r="F28" s="93"/>
      <c r="G28" s="93"/>
      <c r="H28" s="93"/>
      <c r="I28" s="93"/>
      <c r="J28" s="93"/>
    </row>
    <row r="29">
      <c r="C29" s="93"/>
      <c r="D29" s="93"/>
      <c r="E29" s="93"/>
      <c r="F29" s="93"/>
      <c r="G29" s="93"/>
      <c r="H29" s="93"/>
      <c r="I29" s="93"/>
      <c r="J29" s="93"/>
    </row>
    <row r="30">
      <c r="C30" s="93"/>
      <c r="D30" s="93"/>
      <c r="E30" s="93"/>
      <c r="F30" s="93"/>
      <c r="G30" s="93"/>
      <c r="H30" s="93"/>
      <c r="I30" s="93"/>
      <c r="J30" s="93"/>
    </row>
    <row r="31">
      <c r="C31" s="93"/>
      <c r="D31" s="93"/>
      <c r="E31" s="93"/>
      <c r="F31" s="93"/>
      <c r="G31" s="93"/>
      <c r="H31" s="93"/>
      <c r="I31" s="93"/>
      <c r="J31" s="93"/>
    </row>
    <row r="32">
      <c r="C32" s="93"/>
      <c r="D32" s="93"/>
      <c r="E32" s="93"/>
      <c r="F32" s="93"/>
      <c r="G32" s="93"/>
      <c r="H32" s="93"/>
      <c r="I32" s="93"/>
      <c r="J32" s="93"/>
    </row>
    <row r="33">
      <c r="A33" s="93"/>
      <c r="B33" s="93"/>
      <c r="C33" s="93"/>
      <c r="D33" s="93"/>
      <c r="E33" s="93"/>
      <c r="F33" s="93"/>
      <c r="G33" s="93"/>
      <c r="H33" s="93"/>
      <c r="I33" s="93"/>
      <c r="J33" s="93"/>
    </row>
  </sheetData>
  <conditionalFormatting sqref="C1:C27">
    <cfRule type="notContainsBlanks" dxfId="0" priority="1">
      <formula>LEN(TRIM(C1))&gt;0</formula>
    </cfRule>
  </conditionalFormatting>
  <dataValidations>
    <dataValidation type="list" allowBlank="1" sqref="J2:J27">
      <formula1>"debito,cartao,a pagar,pagamento,investimento"</formula1>
    </dataValidation>
    <dataValidation type="custom" allowBlank="1" showDropDown="1" sqref="D2:D27">
      <formula1>OR(NOT(ISERROR(DATEVALUE(D2))), AND(ISNUMBER(D2), LEFT(CELL("format", D2))="D"))</formula1>
    </dataValidation>
    <dataValidation type="custom" allowBlank="1" showDropDown="1" sqref="M2:M14 B2:C27 F2:I27">
      <formula1>AND(ISNUMBER(B2),(NOT(OR(NOT(ISERROR(DATEVALUE(B2))), AND(ISNUMBER(B2), LEFT(CELL("format", B2))="D")))))</formula1>
    </dataValidation>
  </dataValidations>
  <drawing r:id="rId1"/>
  <tableParts count="2"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7.88"/>
    <col customWidth="1" min="2" max="2" width="12.75"/>
    <col customWidth="1" min="3" max="3" width="15.75"/>
    <col customWidth="1" min="4" max="4" width="12.38"/>
    <col customWidth="1" min="5" max="5" width="9.0"/>
    <col customWidth="1" min="6" max="6" width="10.5"/>
    <col customWidth="1" min="7" max="7" width="10.88"/>
    <col customWidth="1" min="8" max="8" width="15.75"/>
    <col customWidth="1" min="9" max="9" width="11.25"/>
    <col customWidth="1" min="10" max="10" width="14.63"/>
    <col customWidth="1" min="11" max="11" width="5.75"/>
    <col customWidth="1" min="12" max="12" width="14.88"/>
    <col customWidth="1" min="13" max="13" width="17.5"/>
  </cols>
  <sheetData>
    <row r="1">
      <c r="A1" s="132" t="s">
        <v>0</v>
      </c>
      <c r="B1" s="133" t="s">
        <v>1</v>
      </c>
      <c r="C1" s="134" t="s">
        <v>2</v>
      </c>
      <c r="D1" s="133" t="s">
        <v>3</v>
      </c>
      <c r="E1" s="133" t="s">
        <v>4</v>
      </c>
      <c r="F1" s="133" t="s">
        <v>5</v>
      </c>
      <c r="G1" s="133" t="s">
        <v>6</v>
      </c>
      <c r="H1" s="133" t="s">
        <v>7</v>
      </c>
      <c r="I1" s="133" t="s">
        <v>8</v>
      </c>
      <c r="J1" s="135" t="s">
        <v>9</v>
      </c>
      <c r="K1" s="93"/>
      <c r="L1" s="9" t="s">
        <v>10</v>
      </c>
      <c r="M1" s="10" t="s">
        <v>11</v>
      </c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>
      <c r="A2" s="136" t="s">
        <v>31</v>
      </c>
      <c r="B2" s="153">
        <f>138.23+36.58+298.12+556.83+421.86</f>
        <v>1451.62</v>
      </c>
      <c r="C2" s="138">
        <v>1451.62</v>
      </c>
      <c r="D2" s="139">
        <v>45868.0</v>
      </c>
      <c r="E2" s="140" t="str">
        <f>IF(contas_5[data]&lt;&gt;"",UPPER(TEXT(contas_5[data],"mmm")), "")</f>
        <v>JUL.</v>
      </c>
      <c r="F2" s="189">
        <v>1.0</v>
      </c>
      <c r="G2" s="141">
        <v>999.0</v>
      </c>
      <c r="H2" s="142">
        <f>IF(contas_5[n parc] = 999, contas_5[valor] *1 - contas_5[valor pago] , contas_5[valor]*contas_5[n parc] - contas_5[valor pago])
</f>
        <v>0</v>
      </c>
      <c r="I2" s="143">
        <f>IF(contas_5[valor pago]="",contas_5[n parc], IF(contas_5[n parc]=999, 999, IF(AND(contas_5[n parc]=1,contas_5[total devido]=0),contas_5[n parc]-1, IF(AND(contas_5[n parc]&gt;1, OR(contas_5[total devido]&lt;&gt;0,contas_5[total devido]=0)),contas_5[n parc]-1,contas_5[n parc]))))</f>
        <v>999</v>
      </c>
      <c r="J2" s="144" t="s">
        <v>79</v>
      </c>
      <c r="K2" s="93"/>
      <c r="L2" s="20" t="s">
        <v>14</v>
      </c>
      <c r="M2" s="21">
        <f>SUM(contas_5[valor])-SUMIF(contas_5[pago em], "cartao", contas_5[valor])-SUMIF(contas_5[pago em], "pagamento", contas_5[valor])</f>
        <v>7096.51</v>
      </c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>
      <c r="A3" s="154" t="s">
        <v>17</v>
      </c>
      <c r="B3" s="146">
        <v>84.1</v>
      </c>
      <c r="C3" s="138">
        <v>84.1</v>
      </c>
      <c r="D3" s="147">
        <v>45870.0</v>
      </c>
      <c r="E3" s="148" t="str">
        <f>IF(contas_5[data]&lt;&gt;"",UPPER(TEXT(contas_5[data],"mmm")), "")</f>
        <v>AGO.</v>
      </c>
      <c r="F3" s="190">
        <v>1.0</v>
      </c>
      <c r="G3" s="151">
        <v>999.0</v>
      </c>
      <c r="H3" s="150">
        <f>IF(contas_5[n parc] = 999, contas_5[valor] *1 - contas_5[valor pago] , contas_5[valor]*contas_5[n parc] - contas_5[valor pago])
</f>
        <v>0</v>
      </c>
      <c r="I3" s="151">
        <f>IF(contas_5[valor pago]="",contas_5[n parc], IF(contas_5[n parc]=999, 999, IF(AND(contas_5[n parc]=1,contas_5[total devido]=0),contas_5[n parc]-1, IF(AND(contas_5[n parc]&gt;1, OR(contas_5[total devido]&lt;&gt;0,contas_5[total devido]=0)),contas_5[n parc]-1,contas_5[n parc]))))</f>
        <v>999</v>
      </c>
      <c r="J3" s="152" t="s">
        <v>13</v>
      </c>
      <c r="K3" s="93"/>
      <c r="L3" s="31" t="s">
        <v>21</v>
      </c>
      <c r="M3" s="37">
        <f>SUM(contas_5[total devido])</f>
        <v>6015.06</v>
      </c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>
      <c r="A4" s="159" t="s">
        <v>76</v>
      </c>
      <c r="B4" s="168">
        <v>0.0</v>
      </c>
      <c r="C4" s="160"/>
      <c r="D4" s="161"/>
      <c r="E4" s="164" t="str">
        <f>IF(contas_5[data]&lt;&gt;"",UPPER(TEXT(contas_5[data],"mmm")), "")</f>
        <v/>
      </c>
      <c r="F4" s="191">
        <v>1.0</v>
      </c>
      <c r="G4" s="143">
        <v>999.0</v>
      </c>
      <c r="H4" s="142">
        <f>IF(contas_5[n parc] = 999, contas_5[valor] *1 - contas_5[valor pago] , contas_5[valor]*contas_5[n parc] - contas_5[valor pago])
</f>
        <v>0</v>
      </c>
      <c r="I4" s="143">
        <f>IF(contas_5[valor pago]="",contas_5[n parc], IF(contas_5[n parc]=999, 999, IF(AND(contas_5[n parc]=1,contas_5[total devido]=0),contas_5[n parc]-1, IF(AND(contas_5[n parc]&gt;1, OR(contas_5[total devido]&lt;&gt;0,contas_5[total devido]=0)),contas_5[n parc]-1,contas_5[n parc]))))</f>
        <v>999</v>
      </c>
      <c r="J4" s="144" t="s">
        <v>37</v>
      </c>
      <c r="K4" s="93"/>
      <c r="L4" s="20" t="s">
        <v>23</v>
      </c>
      <c r="M4" s="21">
        <f>IF(SUMIF(contas_5[pago em], "debito",contas_5[valor pago]) &gt; ((SUMIF(contas_5[pago em], "pagamento", contas_5[valor]))-(SUMIF(contas_5[pago em], "investimento", contas_5[valor]))), -(SUMIF(contas_5[pago em], "debito",contas_5[valor pago]) - ((SUMIF(contas_5[pago em], "pagamento", contas_5[valor]))-(SUMIF(contas_5[pago em], "investimento", contas_5[valor])))), ((SUMIF(contas_5[pago em], "pagamento", contas_5[valor]))-(SUMIF(contas_5[pago em], "investimento", contas_5[valor]))) - SUMIF(contas_5[pago em], "debito",contas_5[valor pago]))</f>
        <v>-2637.52</v>
      </c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>
      <c r="A5" s="145" t="s">
        <v>15</v>
      </c>
      <c r="B5" s="180">
        <v>1417.1</v>
      </c>
      <c r="C5" s="138">
        <v>1417.1</v>
      </c>
      <c r="D5" s="147">
        <v>45868.0</v>
      </c>
      <c r="E5" s="158" t="str">
        <f>IF(contas_5[data]&lt;&gt;"",UPPER(TEXT(contas_5[data],"mmm")), "")</f>
        <v>JUL.</v>
      </c>
      <c r="F5" s="192">
        <v>1.0</v>
      </c>
      <c r="G5" s="149">
        <v>999.0</v>
      </c>
      <c r="H5" s="150">
        <f>IF(contas_5[n parc] = 999, contas_5[valor] *1 - contas_5[valor pago] , contas_5[valor]*contas_5[n parc] - contas_5[valor pago])
</f>
        <v>0</v>
      </c>
      <c r="I5" s="151">
        <f>IF(contas_5[valor pago]="",contas_5[n parc], IF(contas_5[n parc]=999, 999, IF(AND(contas_5[n parc]=1,contas_5[total devido]=0),contas_5[n parc]-1, IF(AND(contas_5[n parc]&gt;1, OR(contas_5[total devido]&lt;&gt;0,contas_5[total devido]=0)),contas_5[n parc]-1,contas_5[n parc]))))</f>
        <v>999</v>
      </c>
      <c r="J5" s="152" t="s">
        <v>15</v>
      </c>
      <c r="K5" s="93"/>
      <c r="L5" s="31" t="s">
        <v>25</v>
      </c>
      <c r="M5" s="32">
        <f>SUM(contas_5[valor pago])-SUMIF(contas_5[pago em], "cartao", contas_5[valor])-SUMIF(contas_5[pago em], "pagamento", contas_5[valor])</f>
        <v>6877.75</v>
      </c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>
      <c r="A6" s="159" t="s">
        <v>59</v>
      </c>
      <c r="B6" s="168"/>
      <c r="C6" s="168"/>
      <c r="D6" s="139"/>
      <c r="E6" s="164" t="str">
        <f>IF(contas_5[data]&lt;&gt;"",UPPER(TEXT(contas_5[data],"mmm")), "")</f>
        <v/>
      </c>
      <c r="F6" s="189">
        <v>1.0</v>
      </c>
      <c r="G6" s="141">
        <v>999.0</v>
      </c>
      <c r="H6" s="142">
        <f>IF(contas_5[n parc] = 999, contas_5[valor] *1 - contas_5[valor pago] , contas_5[valor]*contas_5[n parc] - contas_5[valor pago])
</f>
        <v>0</v>
      </c>
      <c r="I6" s="143">
        <f>IF(contas_5[valor pago]="",contas_5[n parc], IF(contas_5[n parc]=999, 999, IF(AND(contas_5[n parc]=1,contas_5[total devido]=0),contas_5[n parc]-1, IF(AND(contas_5[n parc]&gt;1, OR(contas_5[total devido]&lt;&gt;0,contas_5[total devido]=0)),contas_5[n parc]-1,contas_5[n parc]))))</f>
        <v>999</v>
      </c>
      <c r="J6" s="144" t="s">
        <v>37</v>
      </c>
      <c r="K6" s="93"/>
      <c r="L6" s="40" t="s">
        <v>19</v>
      </c>
      <c r="M6" s="21">
        <f>SUMIF(contas_5[pago em], "pagamento", contas_5[valor])</f>
        <v>4371.12</v>
      </c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>
      <c r="A7" s="145" t="s">
        <v>92</v>
      </c>
      <c r="B7" s="146">
        <v>109.99</v>
      </c>
      <c r="C7" s="138">
        <v>109.99</v>
      </c>
      <c r="D7" s="147">
        <v>45870.0</v>
      </c>
      <c r="E7" s="148" t="str">
        <f>IF(contas_5[data]&lt;&gt;"",UPPER(TEXT(contas_5[data],"mmm")), "")</f>
        <v>AGO.</v>
      </c>
      <c r="F7" s="192">
        <v>1.0</v>
      </c>
      <c r="G7" s="149">
        <v>999.0</v>
      </c>
      <c r="H7" s="150">
        <f>IF(contas_5[n parc] = 999, contas_5[valor] *1 - contas_5[valor pago] , contas_5[valor]*contas_5[n parc] - contas_5[valor pago])
</f>
        <v>0</v>
      </c>
      <c r="I7" s="151">
        <f>IF(contas_5[valor pago]="",contas_5[n parc], IF(contas_5[n parc]=999, 999, IF(AND(contas_5[n parc]=1,contas_5[total devido]=0),contas_5[n parc]-1, IF(AND(contas_5[n parc]&gt;1, OR(contas_5[total devido]&lt;&gt;0,contas_5[total devido]=0)),contas_5[n parc]-1,contas_5[n parc]))))</f>
        <v>999</v>
      </c>
      <c r="J7" s="152" t="s">
        <v>13</v>
      </c>
      <c r="K7" s="93"/>
      <c r="L7" s="197" t="s">
        <v>16</v>
      </c>
      <c r="M7" s="32">
        <f>(SUM(contas_5[valor])-SUMIF(contas_5[pago em], "cartao", contas_5[valor])-SUMIF(contas_5[pago em], "pagamento", contas_5[valor]))-(SUM(contas_5[valor pago])-SUMIF(contas_5[pago em], "cartao", contas_5[valor])-SUMIF(contas_5[pago em], "pagamento", contas_5[valor]))</f>
        <v>218.76</v>
      </c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>
      <c r="A8" s="136" t="s">
        <v>93</v>
      </c>
      <c r="B8" s="168">
        <v>423.08</v>
      </c>
      <c r="C8" s="138">
        <v>423.08</v>
      </c>
      <c r="D8" s="139">
        <v>45868.0</v>
      </c>
      <c r="E8" s="164" t="str">
        <f>IF(contas_5[data]&lt;&gt;"",UPPER(TEXT(contas_5[data],"mmm")), "")</f>
        <v>JUL.</v>
      </c>
      <c r="F8" s="189">
        <v>1.0</v>
      </c>
      <c r="G8" s="143">
        <v>999.0</v>
      </c>
      <c r="H8" s="142">
        <f>IF(contas_5[n parc] = 999, contas_5[valor] *1 - contas_5[valor pago] , contas_5[valor]*contas_5[n parc] - contas_5[valor pago])
</f>
        <v>0</v>
      </c>
      <c r="I8" s="143">
        <f>IF(contas_5[valor pago]="",contas_5[n parc], IF(contas_5[n parc]=999, 999, IF(AND(contas_5[n parc]=1,contas_5[total devido]=0),contas_5[n parc]-1, IF(AND(contas_5[n parc]&gt;1, OR(contas_5[total devido]&lt;&gt;0,contas_5[total devido]=0)),contas_5[n parc]-1,contas_5[n parc]))))</f>
        <v>999</v>
      </c>
      <c r="J8" s="144" t="s">
        <v>13</v>
      </c>
      <c r="K8" s="93"/>
      <c r="L8" s="40" t="s">
        <v>27</v>
      </c>
      <c r="M8" s="21">
        <f>SUMIF(contas_5[pago em], "cartao", contas_5[valor])</f>
        <v>508.76</v>
      </c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>
      <c r="A9" s="154" t="s">
        <v>26</v>
      </c>
      <c r="B9" s="146">
        <f>109.99+109.99</f>
        <v>219.98</v>
      </c>
      <c r="C9" s="138">
        <v>109.99</v>
      </c>
      <c r="D9" s="147">
        <v>45871.0</v>
      </c>
      <c r="E9" s="148" t="str">
        <f>IF(contas_5[data]&lt;&gt;"",UPPER(TEXT(contas_5[data],"mmm")), "")</f>
        <v>AGO.</v>
      </c>
      <c r="F9" s="190">
        <v>4.0</v>
      </c>
      <c r="G9" s="149">
        <v>999.0</v>
      </c>
      <c r="H9" s="150">
        <f>IF(contas_5[n parc] = 999, contas_5[valor] *1 - contas_5[valor pago] , contas_5[valor]*contas_5[n parc] - contas_5[valor pago])
</f>
        <v>109.99</v>
      </c>
      <c r="I9" s="151">
        <f>IF(contas_5[valor pago]="",contas_5[n parc], IF(contas_5[n parc]=999, 999, IF(AND(contas_5[n parc]=1,contas_5[total devido]=0),contas_5[n parc]-1, IF(AND(contas_5[n parc]&gt;1, OR(contas_5[total devido]&lt;&gt;0,contas_5[total devido]=0)),contas_5[n parc]-1,contas_5[n parc]))))</f>
        <v>999</v>
      </c>
      <c r="J9" s="152" t="s">
        <v>18</v>
      </c>
      <c r="K9" s="93"/>
      <c r="L9" s="31" t="s">
        <v>29</v>
      </c>
      <c r="M9" s="32">
        <f>SUMIF(contas_5[pago em], "pagamento", contas_5[valor])*10%</f>
        <v>437.112</v>
      </c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>
      <c r="A10" s="136" t="s">
        <v>59</v>
      </c>
      <c r="B10" s="168">
        <v>294.78</v>
      </c>
      <c r="C10" s="138">
        <v>294.78</v>
      </c>
      <c r="D10" s="139">
        <v>45868.0</v>
      </c>
      <c r="E10" s="164" t="str">
        <f>IF(contas_5[data]&lt;&gt;"",UPPER(TEXT(contas_5[data],"mmm")), "")</f>
        <v>JUL.</v>
      </c>
      <c r="F10" s="189">
        <v>4.0</v>
      </c>
      <c r="G10" s="141">
        <v>1.0</v>
      </c>
      <c r="H10" s="142">
        <f>IF(contas_5[n parc] = 999, contas_5[valor] *1 - contas_5[valor pago] , contas_5[valor]*contas_5[n parc] - contas_5[valor pago])
</f>
        <v>0</v>
      </c>
      <c r="I10" s="143">
        <f>IF(contas_5[valor pago]="",contas_5[n parc], IF(contas_5[n parc]=999, 999, IF(AND(contas_5[n parc]=1,contas_5[total devido]=0),contas_5[n parc]-1, IF(AND(contas_5[n parc]&gt;1, OR(contas_5[total devido]&lt;&gt;0,contas_5[total devido]=0)),contas_5[n parc]-1,contas_5[n parc]))))</f>
        <v>0</v>
      </c>
      <c r="J10" s="144" t="s">
        <v>13</v>
      </c>
      <c r="K10" s="93"/>
      <c r="L10" s="20" t="s">
        <v>31</v>
      </c>
      <c r="M10" s="21">
        <f>SUMIF(contas_5[pago em], "investimento", contas_5[valor])</f>
        <v>1451.62</v>
      </c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</row>
    <row r="11">
      <c r="A11" s="154" t="s">
        <v>52</v>
      </c>
      <c r="B11" s="146">
        <v>333.86</v>
      </c>
      <c r="C11" s="138">
        <v>333.86</v>
      </c>
      <c r="D11" s="147">
        <v>45868.0</v>
      </c>
      <c r="E11" s="148" t="str">
        <f>IF(contas_5[data]&lt;&gt;"",UPPER(TEXT(contas_5[data],"mmm")), "")</f>
        <v>JUL.</v>
      </c>
      <c r="F11" s="190">
        <v>9.0</v>
      </c>
      <c r="G11" s="149">
        <v>8.0</v>
      </c>
      <c r="H11" s="150">
        <f>IF(contas_5[n parc] = 999, contas_5[valor] *1 - contas_5[valor pago] , contas_5[valor]*contas_5[n parc] - contas_5[valor pago])
</f>
        <v>2337.02</v>
      </c>
      <c r="I11" s="149">
        <v>8.0</v>
      </c>
      <c r="J11" s="152" t="s">
        <v>13</v>
      </c>
      <c r="K11" s="93"/>
      <c r="L11" s="31" t="s">
        <v>33</v>
      </c>
      <c r="M11" s="48">
        <v>1917.0</v>
      </c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>
      <c r="A12" s="159" t="s">
        <v>34</v>
      </c>
      <c r="B12" s="168">
        <v>230.0</v>
      </c>
      <c r="C12" s="138">
        <v>230.0</v>
      </c>
      <c r="D12" s="139">
        <v>45884.0</v>
      </c>
      <c r="E12" s="164" t="str">
        <f>IF(contas_5[data]&lt;&gt;"",UPPER(TEXT(contas_5[data],"mmm")), "")</f>
        <v>AGO.</v>
      </c>
      <c r="F12" s="191">
        <v>10.0</v>
      </c>
      <c r="G12" s="143">
        <v>999.0</v>
      </c>
      <c r="H12" s="142">
        <f>IF(contas_5[n parc] = 999, contas_5[valor] *1 - contas_5[valor pago] , contas_5[valor]*contas_5[n parc] - contas_5[valor pago])
</f>
        <v>0</v>
      </c>
      <c r="I12" s="143">
        <f>IF(contas_5[valor pago]="",contas_5[n parc], IF(contas_5[n parc]=999, 999, IF(AND(contas_5[n parc]=1,contas_5[total devido]=0),contas_5[n parc]-1, IF(AND(contas_5[n parc]&gt;1, OR(contas_5[total devido]&lt;&gt;0,contas_5[total devido]=0)),contas_5[n parc]-1,contas_5[n parc]))))</f>
        <v>999</v>
      </c>
      <c r="J12" s="144" t="s">
        <v>13</v>
      </c>
      <c r="K12" s="93"/>
      <c r="L12" s="49" t="s">
        <v>35</v>
      </c>
      <c r="M12" s="21">
        <f>600+317+139</f>
        <v>1056</v>
      </c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>
      <c r="A13" s="154" t="s">
        <v>36</v>
      </c>
      <c r="B13" s="146">
        <v>87.87</v>
      </c>
      <c r="C13" s="146"/>
      <c r="D13" s="147"/>
      <c r="E13" s="148" t="str">
        <f>IF(contas_5[data]&lt;&gt;"",UPPER(TEXT(contas_5[data],"mmm")), "")</f>
        <v/>
      </c>
      <c r="F13" s="190">
        <v>13.0</v>
      </c>
      <c r="G13" s="151">
        <v>999.0</v>
      </c>
      <c r="H13" s="150">
        <f>IF(contas_5[n parc] = 999, contas_5[valor] *1 - contas_5[valor pago] , contas_5[valor]*contas_5[n parc] - contas_5[valor pago])
</f>
        <v>87.87</v>
      </c>
      <c r="I13" s="151">
        <f>IF(contas_5[valor pago]="",contas_5[n parc], IF(contas_5[n parc]=999, 999, IF(AND(contas_5[n parc]=1,contas_5[total devido]=0),contas_5[n parc]-1, IF(AND(contas_5[n parc]&gt;1, OR(contas_5[total devido]&lt;&gt;0,contas_5[total devido]=0)),contas_5[n parc]-1,contas_5[n parc]))))</f>
        <v>999</v>
      </c>
      <c r="J13" s="152" t="s">
        <v>37</v>
      </c>
      <c r="K13" s="93"/>
      <c r="L13" s="165" t="s">
        <v>38</v>
      </c>
      <c r="M13" s="32">
        <v>1000.0</v>
      </c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>
      <c r="A14" s="159" t="s">
        <v>22</v>
      </c>
      <c r="B14" s="168">
        <v>20.9</v>
      </c>
      <c r="C14" s="168"/>
      <c r="D14" s="139"/>
      <c r="E14" s="140" t="str">
        <f>IF(contas_5[data]&lt;&gt;"",UPPER(TEXT(contas_5[data],"mmm")), "")</f>
        <v/>
      </c>
      <c r="F14" s="189">
        <v>15.0</v>
      </c>
      <c r="G14" s="143">
        <v>999.0</v>
      </c>
      <c r="H14" s="142">
        <f>IF(contas_5[n parc] = 999, contas_5[valor] *1 - contas_5[valor pago] , contas_5[valor]*contas_5[n parc] - contas_5[valor pago])
</f>
        <v>20.9</v>
      </c>
      <c r="I14" s="143">
        <f>IF(contas_5[valor pago]="",contas_5[n parc], IF(contas_5[n parc]=999, 999, IF(AND(contas_5[n parc]=1,contas_5[total devido]=0),contas_5[n parc]-1, IF(AND(contas_5[n parc]&gt;1, OR(contas_5[total devido]&lt;&gt;0,contas_5[total devido]=0)),contas_5[n parc]-1,contas_5[n parc]))))</f>
        <v>999</v>
      </c>
      <c r="J14" s="144" t="s">
        <v>18</v>
      </c>
      <c r="K14" s="93"/>
      <c r="L14" s="178" t="s">
        <v>80</v>
      </c>
      <c r="M14" s="167">
        <f>SUMIF(contas_5[n parc], "999", contas_5[valor])-SUMIF(contas_5[pago em], "pagamento", contas_5[valor])</f>
        <v>5431.22</v>
      </c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>
      <c r="A15" s="145" t="s">
        <v>84</v>
      </c>
      <c r="B15" s="146">
        <v>2954.02</v>
      </c>
      <c r="C15" s="138">
        <v>2954.02</v>
      </c>
      <c r="D15" s="147">
        <v>45884.0</v>
      </c>
      <c r="E15" s="148" t="str">
        <f>IF(contas_5[data]&lt;&gt;"",UPPER(TEXT(contas_5[data],"mmm")), "")</f>
        <v>AGO.</v>
      </c>
      <c r="F15" s="192">
        <v>15.0</v>
      </c>
      <c r="G15" s="149">
        <v>999.0</v>
      </c>
      <c r="H15" s="150">
        <f>IF(contas_5[n parc] = 999, contas_5[valor] *1 - contas_5[valor pago] , contas_5[valor]*contas_5[n parc] - contas_5[valor pago])
</f>
        <v>0</v>
      </c>
      <c r="I15" s="151">
        <f>IF(contas_5[valor pago]="",contas_5[n parc], IF(contas_5[n parc]=999, 999, IF(AND(contas_5[n parc]=1,contas_5[total devido]=0),contas_5[n parc]-1, IF(AND(contas_5[n parc]&gt;1, OR(contas_5[total devido]&lt;&gt;0,contas_5[total devido]=0)),contas_5[n parc]-1,contas_5[n parc]))))</f>
        <v>999</v>
      </c>
      <c r="J15" s="152" t="s">
        <v>15</v>
      </c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>
      <c r="A16" s="159" t="s">
        <v>40</v>
      </c>
      <c r="B16" s="168">
        <v>450.0</v>
      </c>
      <c r="C16" s="138">
        <v>450.0</v>
      </c>
      <c r="D16" s="139">
        <v>45884.0</v>
      </c>
      <c r="E16" s="164" t="str">
        <f>IF(contas_5[data]&lt;&gt;"",UPPER(TEXT(contas_5[data],"mmm")), "")</f>
        <v>AGO.</v>
      </c>
      <c r="F16" s="191">
        <v>15.0</v>
      </c>
      <c r="G16" s="143">
        <v>999.0</v>
      </c>
      <c r="H16" s="142">
        <f>IF(contas_5[n parc] = 999, contas_5[valor] *1 - contas_5[valor pago] , contas_5[valor]*contas_5[n parc] - contas_5[valor pago])
</f>
        <v>0</v>
      </c>
      <c r="I16" s="143">
        <f>IF(contas_5[valor pago]="",contas_5[n parc], IF(contas_5[n parc]=999, 999, IF(AND(contas_5[n parc]=1,contas_5[total devido]=0),contas_5[n parc]-1, IF(AND(contas_5[n parc]&gt;1, OR(contas_5[total devido]&lt;&gt;0,contas_5[total devido]=0)),contas_5[n parc]-1,contas_5[n parc]))))</f>
        <v>999</v>
      </c>
      <c r="J16" s="144" t="s">
        <v>13</v>
      </c>
      <c r="K16" s="93"/>
      <c r="L16" s="198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>
      <c r="A17" s="145" t="s">
        <v>94</v>
      </c>
      <c r="B17" s="146">
        <v>0.0</v>
      </c>
      <c r="C17" s="146"/>
      <c r="D17" s="147"/>
      <c r="E17" s="148" t="str">
        <f>IF(contas_5[data]&lt;&gt;"",UPPER(TEXT(contas_5[data],"mmm")), "")</f>
        <v/>
      </c>
      <c r="F17" s="192">
        <v>15.0</v>
      </c>
      <c r="G17" s="149">
        <v>999.0</v>
      </c>
      <c r="H17" s="150">
        <f>IF(contas_5[n parc] = 999, contas_5[valor] *1 - contas_5[valor pago] , contas_5[valor]*contas_5[n parc] - contas_5[valor pago])
</f>
        <v>0</v>
      </c>
      <c r="I17" s="151">
        <f>IF(contas_5[valor pago]="",contas_5[n parc], IF(contas_5[n parc]=999, 999, IF(AND(contas_5[n parc]=1,contas_5[total devido]=0),contas_5[n parc]-1, IF(AND(contas_5[n parc]&gt;1, OR(contas_5[total devido]&lt;&gt;0,contas_5[total devido]=0)),contas_5[n parc]-1,contas_5[n parc]))))</f>
        <v>999</v>
      </c>
      <c r="J17" s="152" t="s">
        <v>37</v>
      </c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>
      <c r="A18" s="136" t="s">
        <v>95</v>
      </c>
      <c r="B18" s="168">
        <v>200.0</v>
      </c>
      <c r="C18" s="138">
        <v>200.0</v>
      </c>
      <c r="D18" s="139">
        <v>45884.0</v>
      </c>
      <c r="E18" s="164" t="str">
        <f>IF(contas_5[data]&lt;&gt;"",UPPER(TEXT(contas_5[data],"mmm")), "")</f>
        <v>AGO.</v>
      </c>
      <c r="F18" s="191">
        <v>15.0</v>
      </c>
      <c r="G18" s="141">
        <v>9.0</v>
      </c>
      <c r="H18" s="142">
        <f>IF(contas_5[n parc] = 999, contas_5[valor] *1 - contas_5[valor pago] , contas_5[valor]*contas_5[n parc] - contas_5[valor pago])
</f>
        <v>1600</v>
      </c>
      <c r="I18" s="143">
        <f>IF(contas_5[valor pago]="",contas_5[n parc], IF(contas_5[n parc]=999, 999, IF(AND(contas_5[n parc]=1,contas_5[total devido]=0),contas_5[n parc]-1, IF(AND(contas_5[n parc]&gt;1, OR(contas_5[total devido]&lt;&gt;0,contas_5[total devido]=0)),contas_5[n parc]-1,contas_5[n parc]))))</f>
        <v>8</v>
      </c>
      <c r="J18" s="144" t="s">
        <v>13</v>
      </c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>
      <c r="A19" s="154" t="s">
        <v>43</v>
      </c>
      <c r="B19" s="146">
        <v>275.84</v>
      </c>
      <c r="C19" s="138">
        <v>275.84</v>
      </c>
      <c r="D19" s="147">
        <v>45884.0</v>
      </c>
      <c r="E19" s="148" t="str">
        <f>IF(contas_5[data]&lt;&gt;"",UPPER(TEXT(contas_5[data],"mmm")), "")</f>
        <v>AGO.</v>
      </c>
      <c r="F19" s="190">
        <v>16.0</v>
      </c>
      <c r="G19" s="149">
        <v>4.0</v>
      </c>
      <c r="H19" s="150">
        <f>IF(contas_5[n parc] = 999, contas_5[valor] *1 - contas_5[valor pago] , contas_5[valor]*contas_5[n parc] - contas_5[valor pago])
</f>
        <v>827.52</v>
      </c>
      <c r="I19" s="151">
        <f>IF(contas_5[valor pago]="",contas_5[n parc], IF(contas_5[n parc]=999, 999, IF(AND(contas_5[n parc]=1,contas_5[total devido]=0),contas_5[n parc]-1, IF(AND(contas_5[n parc]&gt;1, OR(contas_5[total devido]&lt;&gt;0,contas_5[total devido]=0)),contas_5[n parc]-1,contas_5[n parc]))))</f>
        <v>3</v>
      </c>
      <c r="J19" s="152" t="s">
        <v>13</v>
      </c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>
      <c r="A20" s="159" t="s">
        <v>55</v>
      </c>
      <c r="B20" s="160">
        <v>210.0</v>
      </c>
      <c r="C20" s="138">
        <v>210.0</v>
      </c>
      <c r="D20" s="139">
        <v>45885.0</v>
      </c>
      <c r="E20" s="164" t="str">
        <f>IF(contas_5[data]&lt;&gt;"",UPPER(TEXT(contas_5[data],"mmm")), "")</f>
        <v>AGO.</v>
      </c>
      <c r="F20" s="191">
        <v>16.0</v>
      </c>
      <c r="G20" s="141">
        <v>4.0</v>
      </c>
      <c r="H20" s="142">
        <f>IF(contas_5[n parc] = 999, contas_5[valor] *1 - contas_5[valor pago] , contas_5[valor]*contas_5[n parc] - contas_5[valor pago])
</f>
        <v>630</v>
      </c>
      <c r="I20" s="143">
        <f>IF(contas_5[valor pago]="",contas_5[n parc], IF(contas_5[n parc]=999, 999, IF(AND(contas_5[n parc]=1,contas_5[total devido]=0),contas_5[n parc]-1, IF(AND(contas_5[n parc]&gt;1, OR(contas_5[total devido]&lt;&gt;0,contas_5[total devido]=0)),contas_5[n parc]-1,contas_5[n parc]))))</f>
        <v>3</v>
      </c>
      <c r="J20" s="144" t="s">
        <v>18</v>
      </c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>
      <c r="A21" s="154" t="s">
        <v>59</v>
      </c>
      <c r="B21" s="146">
        <f>231.16+170.6</f>
        <v>401.76</v>
      </c>
      <c r="C21" s="138">
        <v>401.76</v>
      </c>
      <c r="D21" s="147">
        <v>45884.0</v>
      </c>
      <c r="E21" s="148" t="str">
        <f>IF(contas_5[data]&lt;&gt;"",UPPER(TEXT(contas_5[data],"mmm")), "")</f>
        <v>AGO.</v>
      </c>
      <c r="F21" s="192">
        <v>16.0</v>
      </c>
      <c r="G21" s="149">
        <v>2.0</v>
      </c>
      <c r="H21" s="150">
        <f>IF(contas_5[n parc] = 999, contas_5[valor] *1 - contas_5[valor pago] , contas_5[valor]*contas_5[n parc] - contas_5[valor pago])
</f>
        <v>401.76</v>
      </c>
      <c r="I21" s="151">
        <f>IF(contas_5[valor pago]="",contas_5[n parc], IF(contas_5[n parc]=999, 999, IF(AND(contas_5[n parc]=1,contas_5[total devido]=0),contas_5[n parc]-1, IF(AND(contas_5[n parc]&gt;1, OR(contas_5[total devido]&lt;&gt;0,contas_5[total devido]=0)),contas_5[n parc]-1,contas_5[n parc]))))</f>
        <v>1</v>
      </c>
      <c r="J21" s="152" t="s">
        <v>13</v>
      </c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>
      <c r="A22" s="159" t="s">
        <v>62</v>
      </c>
      <c r="B22" s="168">
        <v>457.81</v>
      </c>
      <c r="C22" s="138">
        <v>457.81</v>
      </c>
      <c r="D22" s="139">
        <v>45884.0</v>
      </c>
      <c r="E22" s="164" t="str">
        <f>IF(contas_5[data]&lt;&gt;"",UPPER(TEXT(contas_5[data],"mmm")), "")</f>
        <v>AGO.</v>
      </c>
      <c r="F22" s="191">
        <v>17.0</v>
      </c>
      <c r="G22" s="141">
        <v>1.0</v>
      </c>
      <c r="H22" s="142">
        <f>IF(contas_5[n parc] = 999, contas_5[valor] *1 - contas_5[valor pago] , contas_5[valor]*contas_5[n parc] - contas_5[valor pago])
</f>
        <v>0</v>
      </c>
      <c r="I22" s="143">
        <f>IF(contas_5[valor pago]="",contas_5[n parc], IF(contas_5[n parc]=999, 999, IF(AND(contas_5[n parc]=1,contas_5[total devido]=0),contas_5[n parc]-1, IF(AND(contas_5[n parc]&gt;1, OR(contas_5[total devido]&lt;&gt;0,contas_5[total devido]=0)),contas_5[n parc]-1,contas_5[n parc]))))</f>
        <v>0</v>
      </c>
      <c r="J22" s="144" t="s">
        <v>13</v>
      </c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>
      <c r="A23" s="145" t="s">
        <v>96</v>
      </c>
      <c r="B23" s="146">
        <v>160.57</v>
      </c>
      <c r="C23" s="138">
        <v>160.57</v>
      </c>
      <c r="D23" s="147">
        <v>45884.0</v>
      </c>
      <c r="E23" s="148" t="str">
        <f>IF(contas_5[data]&lt;&gt;"",UPPER(TEXT(contas_5[data],"mmm")), "")</f>
        <v>AGO.</v>
      </c>
      <c r="F23" s="192">
        <v>20.0</v>
      </c>
      <c r="G23" s="149">
        <v>999.0</v>
      </c>
      <c r="H23" s="150">
        <f>IF(contas_5[n parc] = 999, contas_5[valor] *1 - contas_5[valor pago] , contas_5[valor]*contas_5[n parc] - contas_5[valor pago])
</f>
        <v>0</v>
      </c>
      <c r="I23" s="151">
        <f>IF(contas_5[valor pago]="",contas_5[n parc], IF(contas_5[n parc]=999, 999, IF(AND(contas_5[n parc]=1,contas_5[total devido]=0),contas_5[n parc]-1, IF(AND(contas_5[n parc]&gt;1, OR(contas_5[total devido]&lt;&gt;0,contas_5[total devido]=0)),contas_5[n parc]-1,contas_5[n parc]))))</f>
        <v>999</v>
      </c>
      <c r="J23" s="152" t="s">
        <v>13</v>
      </c>
      <c r="K23" s="169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>
      <c r="A24" s="159" t="s">
        <v>45</v>
      </c>
      <c r="B24" s="160">
        <v>69.9</v>
      </c>
      <c r="C24" s="138">
        <v>69.9</v>
      </c>
      <c r="D24" s="139">
        <v>45884.0</v>
      </c>
      <c r="E24" s="164" t="str">
        <f>IF(contas_5[data]&lt;&gt;"",UPPER(TEXT(contas_5[data],"mmm")), "")</f>
        <v>AGO.</v>
      </c>
      <c r="F24" s="191">
        <v>20.0</v>
      </c>
      <c r="G24" s="143">
        <v>999.0</v>
      </c>
      <c r="H24" s="142">
        <f>IF(contas_5[n parc] = 999, contas_5[valor] *1 - contas_5[valor pago] , contas_5[valor]*contas_5[n parc] - contas_5[valor pago])
</f>
        <v>0</v>
      </c>
      <c r="I24" s="143">
        <f>IF(contas_5[valor pago]="",contas_5[n parc], IF(contas_5[n parc]=999, 999, IF(AND(contas_5[n parc]=1,contas_5[total devido]=0),contas_5[n parc]-1, IF(AND(contas_5[n parc]&gt;1, OR(contas_5[total devido]&lt;&gt;0,contas_5[total devido]=0)),contas_5[n parc]-1,contas_5[n parc]))))</f>
        <v>999</v>
      </c>
      <c r="J24" s="144" t="s">
        <v>13</v>
      </c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>
      <c r="A25" s="154" t="s">
        <v>46</v>
      </c>
      <c r="B25" s="146">
        <v>750.42</v>
      </c>
      <c r="C25" s="138">
        <v>750.42</v>
      </c>
      <c r="D25" s="147">
        <v>45884.0</v>
      </c>
      <c r="E25" s="148" t="str">
        <f>IF(contas_5[data]&lt;&gt;"",UPPER(TEXT(contas_5[data],"mmm")), "")</f>
        <v>AGO.</v>
      </c>
      <c r="F25" s="190">
        <v>20.0</v>
      </c>
      <c r="G25" s="151">
        <v>999.0</v>
      </c>
      <c r="H25" s="150">
        <f>IF(contas_5[n parc] = 999, contas_5[valor] *1 - contas_5[valor pago] , contas_5[valor]*contas_5[n parc] - contas_5[valor pago])
</f>
        <v>0</v>
      </c>
      <c r="I25" s="151">
        <f>IF(contas_5[valor pago]="",contas_5[n parc], IF(contas_5[n parc]=999, 999, IF(AND(contas_5[n parc]=1,contas_5[total devido]=0),contas_5[n parc]-1, IF(AND(contas_5[n parc]&gt;1, OR(contas_5[total devido]&lt;&gt;0,contas_5[total devido]=0)),contas_5[n parc]-1,contas_5[n parc]))))</f>
        <v>999</v>
      </c>
      <c r="J25" s="152" t="s">
        <v>13</v>
      </c>
      <c r="K25" s="93"/>
      <c r="L25" s="170"/>
      <c r="M25" s="93"/>
    </row>
    <row r="26">
      <c r="A26" s="159" t="s">
        <v>44</v>
      </c>
      <c r="B26" s="168">
        <v>57.88</v>
      </c>
      <c r="C26" s="138">
        <v>57.88</v>
      </c>
      <c r="D26" s="139">
        <v>45884.0</v>
      </c>
      <c r="E26" s="164" t="str">
        <f>IF(contas_5[data]&lt;&gt;"",UPPER(TEXT(contas_5[data],"mmm")), "")</f>
        <v>AGO.</v>
      </c>
      <c r="F26" s="191">
        <v>22.0</v>
      </c>
      <c r="G26" s="143">
        <v>999.0</v>
      </c>
      <c r="H26" s="142">
        <f>IF(contas_5[n parc] = 999, contas_5[valor] *1 - contas_5[valor pago] , contas_5[valor]*contas_5[n parc] - contas_5[valor pago])
</f>
        <v>0</v>
      </c>
      <c r="I26" s="143">
        <f>IF(contas_5[valor pago]="",contas_5[n parc], IF(contas_5[n parc]=999, 999, IF(AND(contas_5[n parc]=1,contas_5[total devido]=0),contas_5[n parc]-1, IF(AND(contas_5[n parc]&gt;1, OR(contas_5[total devido]&lt;&gt;0,contas_5[total devido]=0)),contas_5[n parc]-1,contas_5[n parc]))))</f>
        <v>999</v>
      </c>
      <c r="J26" s="144" t="s">
        <v>18</v>
      </c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 ht="32.25" customHeight="1">
      <c r="A27" s="193" t="s">
        <v>47</v>
      </c>
      <c r="B27" s="194">
        <v>1314.91</v>
      </c>
      <c r="C27" s="179">
        <v>1314.91</v>
      </c>
      <c r="D27" s="195">
        <v>45894.0</v>
      </c>
      <c r="E27" s="184" t="str">
        <f>IF(contas_5[data]&lt;&gt;"",UPPER(TEXT(contas_5[data],"mmm")), "")</f>
        <v>AGO.</v>
      </c>
      <c r="F27" s="196">
        <v>25.0</v>
      </c>
      <c r="G27" s="185">
        <v>999.0</v>
      </c>
      <c r="H27" s="187">
        <f>IF(contas_5[n parc] = 999, contas_5[valor] *1 - contas_5[valor pago] , contas_5[valor]*contas_5[n parc] - contas_5[valor pago])
</f>
        <v>0</v>
      </c>
      <c r="I27" s="185">
        <f>IF(contas_5[valor pago]="",contas_5[n parc], IF(contas_5[n parc]=999, 999, IF(AND(contas_5[n parc]=1,contas_5[total devido]=0),contas_5[n parc]-1, IF(AND(contas_5[n parc]&gt;1, OR(contas_5[total devido]&lt;&gt;0,contas_5[total devido]=0)),contas_5[n parc]-1,contas_5[n parc]))))</f>
        <v>999</v>
      </c>
      <c r="J27" s="188" t="s">
        <v>13</v>
      </c>
      <c r="K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>
      <c r="C28" s="93"/>
      <c r="D28" s="93"/>
      <c r="E28" s="93"/>
      <c r="F28" s="93"/>
      <c r="G28" s="93"/>
      <c r="H28" s="93"/>
      <c r="I28" s="93"/>
      <c r="J28" s="93"/>
    </row>
    <row r="29">
      <c r="C29" s="93"/>
      <c r="D29" s="93"/>
      <c r="E29" s="93"/>
      <c r="F29" s="93"/>
      <c r="G29" s="93"/>
      <c r="H29" s="93"/>
      <c r="I29" s="93"/>
      <c r="J29" s="93"/>
    </row>
    <row r="30">
      <c r="C30" s="93"/>
      <c r="D30" s="93"/>
      <c r="E30" s="93"/>
      <c r="F30" s="93"/>
      <c r="G30" s="93"/>
      <c r="H30" s="93"/>
      <c r="I30" s="93"/>
      <c r="J30" s="93"/>
    </row>
    <row r="31">
      <c r="C31" s="93"/>
      <c r="D31" s="93"/>
      <c r="E31" s="93"/>
      <c r="F31" s="93"/>
      <c r="G31" s="93"/>
      <c r="H31" s="93"/>
      <c r="I31" s="93"/>
      <c r="J31" s="93"/>
    </row>
    <row r="32">
      <c r="C32" s="93"/>
      <c r="D32" s="93"/>
      <c r="E32" s="93"/>
      <c r="F32" s="93"/>
      <c r="G32" s="93"/>
      <c r="H32" s="93"/>
      <c r="I32" s="93"/>
      <c r="J32" s="93"/>
    </row>
    <row r="33">
      <c r="A33" s="93"/>
      <c r="B33" s="93"/>
      <c r="C33" s="93"/>
      <c r="D33" s="93"/>
      <c r="E33" s="93"/>
      <c r="F33" s="93"/>
      <c r="G33" s="93"/>
      <c r="H33" s="93"/>
      <c r="I33" s="93"/>
      <c r="J33" s="93"/>
    </row>
  </sheetData>
  <conditionalFormatting sqref="C1:C27">
    <cfRule type="notContainsBlanks" dxfId="0" priority="1">
      <formula>LEN(TRIM(C1))&gt;0</formula>
    </cfRule>
  </conditionalFormatting>
  <dataValidations>
    <dataValidation type="list" allowBlank="1" sqref="J2:J27">
      <formula1>"debito,cartao,a pagar,pagamento,investimento"</formula1>
    </dataValidation>
    <dataValidation type="custom" allowBlank="1" showDropDown="1" sqref="D2:D27">
      <formula1>OR(NOT(ISERROR(DATEVALUE(D2))), AND(ISNUMBER(D2), LEFT(CELL("format", D2))="D"))</formula1>
    </dataValidation>
    <dataValidation type="custom" allowBlank="1" showDropDown="1" sqref="M2:M14 B2:C27 F2:I27">
      <formula1>AND(ISNUMBER(B2),(NOT(OR(NOT(ISERROR(DATEVALUE(B2))), AND(ISNUMBER(B2), LEFT(CELL("format", B2))="D")))))</formula1>
    </dataValidation>
  </dataValidations>
  <drawing r:id="rId1"/>
  <tableParts count="2"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7.88"/>
    <col customWidth="1" min="2" max="2" width="12.75"/>
    <col customWidth="1" min="3" max="3" width="15.75"/>
    <col customWidth="1" min="4" max="4" width="12.38"/>
    <col customWidth="1" min="5" max="5" width="9.0"/>
    <col customWidth="1" min="6" max="6" width="10.5"/>
    <col customWidth="1" min="7" max="7" width="10.88"/>
    <col customWidth="1" min="8" max="8" width="15.75"/>
    <col customWidth="1" min="9" max="9" width="11.25"/>
    <col customWidth="1" min="10" max="10" width="14.63"/>
    <col customWidth="1" min="11" max="11" width="5.75"/>
    <col customWidth="1" min="12" max="12" width="14.88"/>
    <col customWidth="1" min="13" max="13" width="17.5"/>
  </cols>
  <sheetData>
    <row r="1">
      <c r="A1" s="132" t="s">
        <v>0</v>
      </c>
      <c r="B1" s="133" t="s">
        <v>1</v>
      </c>
      <c r="C1" s="134" t="s">
        <v>2</v>
      </c>
      <c r="D1" s="133" t="s">
        <v>3</v>
      </c>
      <c r="E1" s="133" t="s">
        <v>4</v>
      </c>
      <c r="F1" s="133" t="s">
        <v>5</v>
      </c>
      <c r="G1" s="133" t="s">
        <v>6</v>
      </c>
      <c r="H1" s="133" t="s">
        <v>7</v>
      </c>
      <c r="I1" s="133" t="s">
        <v>8</v>
      </c>
      <c r="J1" s="135" t="s">
        <v>9</v>
      </c>
      <c r="K1" s="93"/>
      <c r="L1" s="9" t="s">
        <v>10</v>
      </c>
      <c r="M1" s="10" t="s">
        <v>11</v>
      </c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>
      <c r="A2" s="136" t="s">
        <v>31</v>
      </c>
      <c r="B2" s="153">
        <f t="shared" ref="B2:C2" si="1">207.88+114+192.43+86.93</f>
        <v>601.24</v>
      </c>
      <c r="C2" s="138">
        <f t="shared" si="1"/>
        <v>601.24</v>
      </c>
      <c r="D2" s="139">
        <v>45898.0</v>
      </c>
      <c r="E2" s="140" t="str">
        <f>IF(contas_6[data]&lt;&gt;"",UPPER(TEXT(contas_6[data],"mmm")), "")</f>
        <v>AGO.</v>
      </c>
      <c r="F2" s="189">
        <v>1.0</v>
      </c>
      <c r="G2" s="141">
        <v>999.0</v>
      </c>
      <c r="H2" s="142">
        <f>IF(contas_6[n parc] = 999, contas_6[valor] *1 - contas_6[valor pago] , contas_6[valor]*contas_6[n parc] - contas_6[valor pago])
</f>
        <v>0</v>
      </c>
      <c r="I2" s="143">
        <f>IF(contas_6[valor pago]="",contas_6[n parc], IF(contas_6[n parc]=999, 999, IF(AND(contas_6[n parc]=1,contas_6[total devido]=0),contas_6[n parc]-1, IF(AND(contas_6[n parc]&gt;1, OR(contas_6[total devido]&lt;&gt;0,contas_6[total devido]=0)),contas_6[n parc]-1,contas_6[n parc]))))</f>
        <v>999</v>
      </c>
      <c r="J2" s="144" t="s">
        <v>79</v>
      </c>
      <c r="K2" s="93"/>
      <c r="L2" s="20" t="s">
        <v>14</v>
      </c>
      <c r="M2" s="21">
        <f>SUM(contas_6[valor])-SUMIF(contas_6[pago em], "cartao", contas_6[valor])-SUMIF(contas_6[pago em], "pagamento", contas_6[valor])</f>
        <v>7183.26</v>
      </c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>
      <c r="A3" s="154" t="s">
        <v>17</v>
      </c>
      <c r="B3" s="146">
        <v>84.1</v>
      </c>
      <c r="C3" s="138">
        <v>84.1</v>
      </c>
      <c r="D3" s="147">
        <v>45901.0</v>
      </c>
      <c r="E3" s="148" t="str">
        <f>IF(contas_6[data]&lt;&gt;"",UPPER(TEXT(contas_6[data],"mmm")), "")</f>
        <v>SET.</v>
      </c>
      <c r="F3" s="190">
        <v>1.0</v>
      </c>
      <c r="G3" s="151">
        <v>999.0</v>
      </c>
      <c r="H3" s="150">
        <f>IF(contas_6[n parc] = 999, contas_6[valor] *1 - contas_6[valor pago] , contas_6[valor]*contas_6[n parc] - contas_6[valor pago])
</f>
        <v>0</v>
      </c>
      <c r="I3" s="151">
        <f>IF(contas_6[valor pago]="",contas_6[n parc], IF(contas_6[n parc]=999, 999, IF(AND(contas_6[n parc]=1,contas_6[total devido]=0),contas_6[n parc]-1, IF(AND(contas_6[n parc]&gt;1, OR(contas_6[total devido]&lt;&gt;0,contas_6[total devido]=0)),contas_6[n parc]-1,contas_6[n parc]))))</f>
        <v>999</v>
      </c>
      <c r="J3" s="152" t="s">
        <v>13</v>
      </c>
      <c r="K3" s="93"/>
      <c r="L3" s="31" t="s">
        <v>21</v>
      </c>
      <c r="M3" s="37">
        <f>SUM(contas_6[total devido])</f>
        <v>9232.84</v>
      </c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>
      <c r="A4" s="159" t="s">
        <v>76</v>
      </c>
      <c r="B4" s="168">
        <v>0.0</v>
      </c>
      <c r="C4" s="160"/>
      <c r="D4" s="161"/>
      <c r="E4" s="164" t="str">
        <f>IF(contas_6[data]&lt;&gt;"",UPPER(TEXT(contas_6[data],"mmm")), "")</f>
        <v/>
      </c>
      <c r="F4" s="191">
        <v>1.0</v>
      </c>
      <c r="G4" s="143">
        <v>999.0</v>
      </c>
      <c r="H4" s="142">
        <f>IF(contas_6[n parc] = 999, contas_6[valor] *1 - contas_6[valor pago] , contas_6[valor]*contas_6[n parc] - contas_6[valor pago])
</f>
        <v>0</v>
      </c>
      <c r="I4" s="143">
        <f>IF(contas_6[valor pago]="",contas_6[n parc], IF(contas_6[n parc]=999, 999, IF(AND(contas_6[n parc]=1,contas_6[total devido]=0),contas_6[n parc]-1, IF(AND(contas_6[n parc]&gt;1, OR(contas_6[total devido]&lt;&gt;0,contas_6[total devido]=0)),contas_6[n parc]-1,contas_6[n parc]))))</f>
        <v>999</v>
      </c>
      <c r="J4" s="144" t="s">
        <v>37</v>
      </c>
      <c r="K4" s="93"/>
      <c r="L4" s="20" t="s">
        <v>23</v>
      </c>
      <c r="M4" s="21">
        <f>IF(SUMIF(contas_6[pago em], "debito",contas_6[valor pago]) &gt; ((SUMIF(contas_6[pago em], "pagamento", contas_6[valor]))-(SUMIF(contas_6[pago em], "investimento", contas_6[valor]))), -(SUMIF(contas_6[pago em], "debito",contas_6[valor pago]) - ((SUMIF(contas_6[pago em], "pagamento", contas_6[valor]))-(SUMIF(contas_6[pago em], "investimento", contas_6[valor])))), ((SUMIF(contas_6[pago em], "pagamento", contas_6[valor]))-(SUMIF(contas_6[pago em], "investimento", contas_6[valor]))) - SUMIF(contas_6[pago em], "debito",contas_6[valor pago]))</f>
        <v>-987.52</v>
      </c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>
      <c r="A5" s="145" t="s">
        <v>15</v>
      </c>
      <c r="B5" s="180">
        <v>1529.6</v>
      </c>
      <c r="C5" s="138">
        <v>1529.6</v>
      </c>
      <c r="D5" s="147">
        <v>45898.0</v>
      </c>
      <c r="E5" s="158" t="str">
        <f>IF(contas_6[data]&lt;&gt;"",UPPER(TEXT(contas_6[data],"mmm")), "")</f>
        <v>AGO.</v>
      </c>
      <c r="F5" s="192">
        <v>1.0</v>
      </c>
      <c r="G5" s="149">
        <v>999.0</v>
      </c>
      <c r="H5" s="150">
        <f>IF(contas_6[n parc] = 999, contas_6[valor] *1 - contas_6[valor pago] , contas_6[valor]*contas_6[n parc] - contas_6[valor pago])
</f>
        <v>0</v>
      </c>
      <c r="I5" s="151">
        <f>IF(contas_6[valor pago]="",contas_6[n parc], IF(contas_6[n parc]=999, 999, IF(AND(contas_6[n parc]=1,contas_6[total devido]=0),contas_6[n parc]-1, IF(AND(contas_6[n parc]&gt;1, OR(contas_6[total devido]&lt;&gt;0,contas_6[total devido]=0)),contas_6[n parc]-1,contas_6[n parc]))))</f>
        <v>999</v>
      </c>
      <c r="J5" s="152" t="s">
        <v>15</v>
      </c>
      <c r="K5" s="93"/>
      <c r="L5" s="31" t="s">
        <v>25</v>
      </c>
      <c r="M5" s="32">
        <f>SUM(contas_6[valor pago])-SUMIF(contas_6[pago em], "cartao", contas_6[valor])-SUMIF(contas_6[pago em], "pagamento", contas_6[valor])</f>
        <v>5778.22</v>
      </c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>
      <c r="A6" s="159" t="s">
        <v>59</v>
      </c>
      <c r="B6" s="168">
        <v>0.0</v>
      </c>
      <c r="C6" s="168"/>
      <c r="D6" s="139"/>
      <c r="E6" s="164" t="str">
        <f>IF(contas_6[data]&lt;&gt;"",UPPER(TEXT(contas_6[data],"mmm")), "")</f>
        <v/>
      </c>
      <c r="F6" s="189">
        <v>1.0</v>
      </c>
      <c r="G6" s="141">
        <v>999.0</v>
      </c>
      <c r="H6" s="142">
        <f>IF(contas_6[n parc] = 999, contas_6[valor] *1 - contas_6[valor pago] , contas_6[valor]*contas_6[n parc] - contas_6[valor pago])
</f>
        <v>0</v>
      </c>
      <c r="I6" s="143">
        <f>IF(contas_6[valor pago]="",contas_6[n parc], IF(contas_6[n parc]=999, 999, IF(AND(contas_6[n parc]=1,contas_6[total devido]=0),contas_6[n parc]-1, IF(AND(contas_6[n parc]&gt;1, OR(contas_6[total devido]&lt;&gt;0,contas_6[total devido]=0)),contas_6[n parc]-1,contas_6[n parc]))))</f>
        <v>999</v>
      </c>
      <c r="J6" s="144" t="s">
        <v>37</v>
      </c>
      <c r="K6" s="93"/>
      <c r="L6" s="40" t="s">
        <v>19</v>
      </c>
      <c r="M6" s="21">
        <f>SUMIF(contas_6[pago em], "pagamento", contas_6[valor])</f>
        <v>4811.6</v>
      </c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>
      <c r="A7" s="145" t="s">
        <v>92</v>
      </c>
      <c r="B7" s="146">
        <v>249.95</v>
      </c>
      <c r="C7" s="138">
        <v>249.95</v>
      </c>
      <c r="D7" s="147">
        <v>45898.0</v>
      </c>
      <c r="E7" s="148" t="str">
        <f>IF(contas_6[data]&lt;&gt;"",UPPER(TEXT(contas_6[data],"mmm")), "")</f>
        <v>AGO.</v>
      </c>
      <c r="F7" s="192">
        <v>1.0</v>
      </c>
      <c r="G7" s="149">
        <v>999.0</v>
      </c>
      <c r="H7" s="150">
        <f>IF(contas_6[n parc] = 999, contas_6[valor] *1 - contas_6[valor pago] , contas_6[valor]*contas_6[n parc] - contas_6[valor pago])
</f>
        <v>0</v>
      </c>
      <c r="I7" s="151">
        <f>IF(contas_6[valor pago]="",contas_6[n parc], IF(contas_6[n parc]=999, 999, IF(AND(contas_6[n parc]=1,contas_6[total devido]=0),contas_6[n parc]-1, IF(AND(contas_6[n parc]&gt;1, OR(contas_6[total devido]&lt;&gt;0,contas_6[total devido]=0)),contas_6[n parc]-1,contas_6[n parc]))))</f>
        <v>999</v>
      </c>
      <c r="J7" s="152" t="s">
        <v>13</v>
      </c>
      <c r="K7" s="93"/>
      <c r="L7" s="197" t="s">
        <v>16</v>
      </c>
      <c r="M7" s="32">
        <f>(SUM(contas_6[valor])-SUMIF(contas_6[pago em], "cartao", contas_6[valor])-SUMIF(contas_6[pago em], "pagamento", contas_6[valor]))-(SUM(contas_6[valor pago])-SUMIF(contas_6[pago em], "cartao", contas_6[valor])-SUMIF(contas_6[pago em], "pagamento", contas_6[valor]))</f>
        <v>1405.04</v>
      </c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>
      <c r="A8" s="136" t="s">
        <v>93</v>
      </c>
      <c r="B8" s="168">
        <v>487.25</v>
      </c>
      <c r="C8" s="138">
        <v>487.25</v>
      </c>
      <c r="D8" s="139">
        <v>45901.0</v>
      </c>
      <c r="E8" s="164" t="str">
        <f>IF(contas_6[data]&lt;&gt;"",UPPER(TEXT(contas_6[data],"mmm")), "")</f>
        <v>SET.</v>
      </c>
      <c r="F8" s="189">
        <v>1.0</v>
      </c>
      <c r="G8" s="143">
        <v>999.0</v>
      </c>
      <c r="H8" s="142">
        <f>IF(contas_6[n parc] = 999, contas_6[valor] *1 - contas_6[valor pago] , contas_6[valor]*contas_6[n parc] - contas_6[valor pago])
</f>
        <v>0</v>
      </c>
      <c r="I8" s="143">
        <f>IF(contas_6[valor pago]="",contas_6[n parc], IF(contas_6[n parc]=999, 999, IF(AND(contas_6[n parc]=1,contas_6[total devido]=0),contas_6[n parc]-1, IF(AND(contas_6[n parc]&gt;1, OR(contas_6[total devido]&lt;&gt;0,contas_6[total devido]=0)),contas_6[n parc]-1,contas_6[n parc]))))</f>
        <v>999</v>
      </c>
      <c r="J8" s="144" t="s">
        <v>13</v>
      </c>
      <c r="K8" s="93"/>
      <c r="L8" s="40" t="s">
        <v>27</v>
      </c>
      <c r="M8" s="21">
        <f>SUMIF(contas_6[pago em], "cartao", contas_6[valor])</f>
        <v>853.64</v>
      </c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>
      <c r="A9" s="154" t="s">
        <v>26</v>
      </c>
      <c r="B9" s="146">
        <v>0.0</v>
      </c>
      <c r="C9" s="146"/>
      <c r="D9" s="147"/>
      <c r="E9" s="148" t="str">
        <f>IF(contas_6[data]&lt;&gt;"",UPPER(TEXT(contas_6[data],"mmm")), "")</f>
        <v/>
      </c>
      <c r="F9" s="190">
        <v>4.0</v>
      </c>
      <c r="G9" s="149">
        <v>999.0</v>
      </c>
      <c r="H9" s="150">
        <f>IF(contas_6[n parc] = 999, contas_6[valor] *1 - contas_6[valor pago] , contas_6[valor]*contas_6[n parc] - contas_6[valor pago])
</f>
        <v>0</v>
      </c>
      <c r="I9" s="151">
        <f>IF(contas_6[valor pago]="",contas_6[n parc], IF(contas_6[n parc]=999, 999, IF(AND(contas_6[n parc]=1,contas_6[total devido]=0),contas_6[n parc]-1, IF(AND(contas_6[n parc]&gt;1, OR(contas_6[total devido]&lt;&gt;0,contas_6[total devido]=0)),contas_6[n parc]-1,contas_6[n parc]))))</f>
        <v>999</v>
      </c>
      <c r="J9" s="152" t="s">
        <v>18</v>
      </c>
      <c r="K9" s="93"/>
      <c r="L9" s="31" t="s">
        <v>29</v>
      </c>
      <c r="M9" s="32">
        <f>SUMIF(contas_6[pago em], "pagamento", contas_6[valor])*10%</f>
        <v>481.16</v>
      </c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>
      <c r="A10" s="159" t="s">
        <v>52</v>
      </c>
      <c r="B10" s="168">
        <v>333.86</v>
      </c>
      <c r="C10" s="138">
        <v>333.86</v>
      </c>
      <c r="D10" s="139">
        <v>45898.0</v>
      </c>
      <c r="E10" s="164" t="str">
        <f>IF(contas_6[data]&lt;&gt;"",UPPER(TEXT(contas_6[data],"mmm")), "")</f>
        <v>AGO.</v>
      </c>
      <c r="F10" s="191">
        <v>9.0</v>
      </c>
      <c r="G10" s="141">
        <v>7.0</v>
      </c>
      <c r="H10" s="142">
        <f>IF(contas_6[n parc] = 999, contas_6[valor] *1 - contas_6[valor pago] , contas_6[valor]*contas_6[n parc] - contas_6[valor pago])
</f>
        <v>2003.16</v>
      </c>
      <c r="I10" s="141">
        <v>8.0</v>
      </c>
      <c r="J10" s="144" t="s">
        <v>13</v>
      </c>
      <c r="K10" s="93"/>
      <c r="L10" s="20" t="s">
        <v>31</v>
      </c>
      <c r="M10" s="21">
        <f>SUMIF(contas_6[pago em], "investimento", contas_6[valor])</f>
        <v>601.24</v>
      </c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</row>
    <row r="11">
      <c r="A11" s="154" t="s">
        <v>34</v>
      </c>
      <c r="B11" s="146">
        <v>230.0</v>
      </c>
      <c r="C11" s="146"/>
      <c r="D11" s="147"/>
      <c r="E11" s="148" t="str">
        <f>IF(contas_6[data]&lt;&gt;"",UPPER(TEXT(contas_6[data],"mmm")), "")</f>
        <v/>
      </c>
      <c r="F11" s="190">
        <v>10.0</v>
      </c>
      <c r="G11" s="151">
        <v>999.0</v>
      </c>
      <c r="H11" s="150">
        <f>IF(contas_6[n parc] = 999, contas_6[valor] *1 - contas_6[valor pago] , contas_6[valor]*contas_6[n parc] - contas_6[valor pago])
</f>
        <v>230</v>
      </c>
      <c r="I11" s="151">
        <f>IF(contas_6[valor pago]="",contas_6[n parc], IF(contas_6[n parc]=999, 999, IF(AND(contas_6[n parc]=1,contas_6[total devido]=0),contas_6[n parc]-1, IF(AND(contas_6[n parc]&gt;1, OR(contas_6[total devido]&lt;&gt;0,contas_6[total devido]=0)),contas_6[n parc]-1,contas_6[n parc]))))</f>
        <v>999</v>
      </c>
      <c r="J11" s="152" t="s">
        <v>37</v>
      </c>
      <c r="K11" s="93"/>
      <c r="L11" s="31" t="s">
        <v>33</v>
      </c>
      <c r="M11" s="48">
        <v>1917.0</v>
      </c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>
      <c r="A12" s="159" t="s">
        <v>36</v>
      </c>
      <c r="B12" s="168">
        <v>172.74</v>
      </c>
      <c r="C12" s="138">
        <v>172.74</v>
      </c>
      <c r="D12" s="139">
        <v>45916.0</v>
      </c>
      <c r="E12" s="164" t="str">
        <f>IF(contas_6[data]&lt;&gt;"",UPPER(TEXT(contas_6[data],"mmm")), "")</f>
        <v>SET.</v>
      </c>
      <c r="F12" s="191">
        <v>13.0</v>
      </c>
      <c r="G12" s="143">
        <v>999.0</v>
      </c>
      <c r="H12" s="142">
        <f>IF(contas_6[n parc] = 999, contas_6[valor] *1 - contas_6[valor pago] , contas_6[valor]*contas_6[n parc] - contas_6[valor pago])
</f>
        <v>0</v>
      </c>
      <c r="I12" s="143">
        <f>IF(contas_6[valor pago]="",contas_6[n parc], IF(contas_6[n parc]=999, 999, IF(AND(contas_6[n parc]=1,contas_6[total devido]=0),contas_6[n parc]-1, IF(AND(contas_6[n parc]&gt;1, OR(contas_6[total devido]&lt;&gt;0,contas_6[total devido]=0)),contas_6[n parc]-1,contas_6[n parc]))))</f>
        <v>999</v>
      </c>
      <c r="J12" s="144" t="s">
        <v>18</v>
      </c>
      <c r="K12" s="93"/>
      <c r="L12" s="49" t="s">
        <v>35</v>
      </c>
      <c r="M12" s="21">
        <f>600+317+139</f>
        <v>1056</v>
      </c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>
      <c r="A13" s="154" t="s">
        <v>22</v>
      </c>
      <c r="B13" s="146">
        <v>20.9</v>
      </c>
      <c r="C13" s="146"/>
      <c r="D13" s="147"/>
      <c r="E13" s="158" t="str">
        <f>IF(contas_6[data]&lt;&gt;"",UPPER(TEXT(contas_6[data],"mmm")), "")</f>
        <v/>
      </c>
      <c r="F13" s="192">
        <v>1.0</v>
      </c>
      <c r="G13" s="151">
        <v>999.0</v>
      </c>
      <c r="H13" s="150">
        <f>IF(contas_6[n parc] = 999, contas_6[valor] *1 - contas_6[valor pago] , contas_6[valor]*contas_6[n parc] - contas_6[valor pago])
</f>
        <v>20.9</v>
      </c>
      <c r="I13" s="151">
        <f>IF(contas_6[valor pago]="",contas_6[n parc], IF(contas_6[n parc]=999, 999, IF(AND(contas_6[n parc]=1,contas_6[total devido]=0),contas_6[n parc]-1, IF(AND(contas_6[n parc]&gt;1, OR(contas_6[total devido]&lt;&gt;0,contas_6[total devido]=0)),contas_6[n parc]-1,contas_6[n parc]))))</f>
        <v>999</v>
      </c>
      <c r="J13" s="152" t="s">
        <v>18</v>
      </c>
      <c r="K13" s="93"/>
      <c r="L13" s="165" t="s">
        <v>38</v>
      </c>
      <c r="M13" s="32">
        <f>1000+300-300</f>
        <v>1000</v>
      </c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>
      <c r="A14" s="136" t="s">
        <v>84</v>
      </c>
      <c r="B14" s="168">
        <v>2982.0</v>
      </c>
      <c r="C14" s="138">
        <v>2982.0</v>
      </c>
      <c r="D14" s="139">
        <v>45915.0</v>
      </c>
      <c r="E14" s="164" t="str">
        <f>IF(contas_6[data]&lt;&gt;"",UPPER(TEXT(contas_6[data],"mmm")), "")</f>
        <v>SET.</v>
      </c>
      <c r="F14" s="189">
        <v>15.0</v>
      </c>
      <c r="G14" s="141">
        <v>999.0</v>
      </c>
      <c r="H14" s="142">
        <f>IF(contas_6[n parc] = 999, contas_6[valor] *1 - contas_6[valor pago] , contas_6[valor]*contas_6[n parc] - contas_6[valor pago])
</f>
        <v>0</v>
      </c>
      <c r="I14" s="143">
        <f>IF(contas_6[valor pago]="",contas_6[n parc], IF(contas_6[n parc]=999, 999, IF(AND(contas_6[n parc]=1,contas_6[total devido]=0),contas_6[n parc]-1, IF(AND(contas_6[n parc]&gt;1, OR(contas_6[total devido]&lt;&gt;0,contas_6[total devido]=0)),contas_6[n parc]-1,contas_6[n parc]))))</f>
        <v>999</v>
      </c>
      <c r="J14" s="144" t="s">
        <v>15</v>
      </c>
      <c r="K14" s="93"/>
      <c r="L14" s="199" t="s">
        <v>80</v>
      </c>
      <c r="M14" s="200">
        <f>SUMIF(contas_6[n parc], "999", contas_6[valor])-SUMIF(contas_6[pago em], "pagamento", contas_6[valor])</f>
        <v>5547.32</v>
      </c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>
      <c r="A15" s="154" t="s">
        <v>40</v>
      </c>
      <c r="B15" s="146">
        <v>450.0</v>
      </c>
      <c r="C15" s="138">
        <v>450.0</v>
      </c>
      <c r="D15" s="147">
        <v>45916.0</v>
      </c>
      <c r="E15" s="148" t="str">
        <f>IF(contas_6[data]&lt;&gt;"",UPPER(TEXT(contas_6[data],"mmm")), "")</f>
        <v>SET.</v>
      </c>
      <c r="F15" s="190">
        <v>15.0</v>
      </c>
      <c r="G15" s="151">
        <v>999.0</v>
      </c>
      <c r="H15" s="150">
        <f>IF(contas_6[n parc] = 999, contas_6[valor] *1 - contas_6[valor pago] , contas_6[valor]*contas_6[n parc] - contas_6[valor pago])
</f>
        <v>0</v>
      </c>
      <c r="I15" s="151">
        <f>IF(contas_6[valor pago]="",contas_6[n parc], IF(contas_6[n parc]=999, 999, IF(AND(contas_6[n parc]=1,contas_6[total devido]=0),contas_6[n parc]-1, IF(AND(contas_6[n parc]&gt;1, OR(contas_6[total devido]&lt;&gt;0,contas_6[total devido]=0)),contas_6[n parc]-1,contas_6[n parc]))))</f>
        <v>999</v>
      </c>
      <c r="J15" s="152" t="s">
        <v>18</v>
      </c>
      <c r="K15" s="93"/>
      <c r="L15" s="201" t="s">
        <v>97</v>
      </c>
      <c r="M15" s="202">
        <v>200.0</v>
      </c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>
      <c r="A16" s="136" t="s">
        <v>94</v>
      </c>
      <c r="B16" s="168">
        <v>1416.16</v>
      </c>
      <c r="C16" s="138">
        <v>1416.16</v>
      </c>
      <c r="D16" s="139">
        <v>45915.0</v>
      </c>
      <c r="E16" s="164" t="str">
        <f>IF(contas_6[data]&lt;&gt;"",UPPER(TEXT(contas_6[data],"mmm")), "")</f>
        <v>SET.</v>
      </c>
      <c r="F16" s="189">
        <v>15.0</v>
      </c>
      <c r="G16" s="141">
        <v>999.0</v>
      </c>
      <c r="H16" s="142">
        <f>IF(contas_6[n parc] = 999, contas_6[valor] *1 - contas_6[valor pago] , contas_6[valor]*contas_6[n parc] - contas_6[valor pago])
</f>
        <v>0</v>
      </c>
      <c r="I16" s="143">
        <f>IF(contas_6[valor pago]="",contas_6[n parc], IF(contas_6[n parc]=999, 999, IF(AND(contas_6[n parc]=1,contas_6[total devido]=0),contas_6[n parc]-1, IF(AND(contas_6[n parc]&gt;1, OR(contas_6[total devido]&lt;&gt;0,contas_6[total devido]=0)),contas_6[n parc]-1,contas_6[n parc]))))</f>
        <v>999</v>
      </c>
      <c r="J16" s="144" t="s">
        <v>13</v>
      </c>
      <c r="K16" s="93"/>
      <c r="L16" s="198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>
      <c r="A17" s="145" t="s">
        <v>98</v>
      </c>
      <c r="B17" s="146">
        <v>195.75</v>
      </c>
      <c r="C17" s="146"/>
      <c r="D17" s="147"/>
      <c r="E17" s="148" t="str">
        <f>IF(contas_6[data]&lt;&gt;"",UPPER(TEXT(contas_6[data],"mmm")), "")</f>
        <v/>
      </c>
      <c r="F17" s="190">
        <v>15.0</v>
      </c>
      <c r="G17" s="149">
        <v>8.0</v>
      </c>
      <c r="H17" s="150">
        <f>IF(contas_6[n parc] = 999, contas_6[valor] *1 - contas_6[valor pago] , contas_6[valor]*contas_6[n parc] - contas_6[valor pago])
</f>
        <v>1566</v>
      </c>
      <c r="I17" s="151">
        <f>IF(contas_6[valor pago]="",contas_6[n parc], IF(contas_6[n parc]=999, 999, IF(AND(contas_6[n parc]=1,contas_6[total devido]=0),contas_6[n parc]-1, IF(AND(contas_6[n parc]&gt;1, OR(contas_6[total devido]&lt;&gt;0,contas_6[total devido]=0)),contas_6[n parc]-1,contas_6[n parc]))))</f>
        <v>8</v>
      </c>
      <c r="J17" s="152" t="s">
        <v>37</v>
      </c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>
      <c r="A18" s="159" t="s">
        <v>43</v>
      </c>
      <c r="B18" s="168">
        <v>275.84</v>
      </c>
      <c r="C18" s="168"/>
      <c r="D18" s="139"/>
      <c r="E18" s="164" t="str">
        <f>IF(contas_6[data]&lt;&gt;"",UPPER(TEXT(contas_6[data],"mmm")), "")</f>
        <v/>
      </c>
      <c r="F18" s="191">
        <v>16.0</v>
      </c>
      <c r="G18" s="141">
        <v>3.0</v>
      </c>
      <c r="H18" s="142">
        <f>IF(contas_6[n parc] = 999, contas_6[valor] *1 - contas_6[valor pago] , contas_6[valor]*contas_6[n parc] - contas_6[valor pago])
</f>
        <v>827.52</v>
      </c>
      <c r="I18" s="143">
        <f>IF(contas_6[valor pago]="",contas_6[n parc], IF(contas_6[n parc]=999, 999, IF(AND(contas_6[n parc]=1,contas_6[total devido]=0),contas_6[n parc]-1, IF(AND(contas_6[n parc]&gt;1, OR(contas_6[total devido]&lt;&gt;0,contas_6[total devido]=0)),contas_6[n parc]-1,contas_6[n parc]))))</f>
        <v>3</v>
      </c>
      <c r="J18" s="144" t="s">
        <v>37</v>
      </c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>
      <c r="A19" s="154" t="s">
        <v>55</v>
      </c>
      <c r="B19" s="155">
        <v>210.0</v>
      </c>
      <c r="C19" s="138">
        <v>210.0</v>
      </c>
      <c r="D19" s="147">
        <v>45916.0</v>
      </c>
      <c r="E19" s="148" t="str">
        <f>IF(contas_6[data]&lt;&gt;"",UPPER(TEXT(contas_6[data],"mmm")), "")</f>
        <v>SET.</v>
      </c>
      <c r="F19" s="190">
        <v>16.0</v>
      </c>
      <c r="G19" s="149">
        <v>3.0</v>
      </c>
      <c r="H19" s="150">
        <f>IF(contas_6[n parc] = 999, contas_6[valor] *1 - contas_6[valor pago] , contas_6[valor]*contas_6[n parc] - contas_6[valor pago])
</f>
        <v>420</v>
      </c>
      <c r="I19" s="151">
        <f>IF(contas_6[valor pago]="",contas_6[n parc], IF(contas_6[n parc]=999, 999, IF(AND(contas_6[n parc]=1,contas_6[total devido]=0),contas_6[n parc]-1, IF(AND(contas_6[n parc]&gt;1, OR(contas_6[total devido]&lt;&gt;0,contas_6[total devido]=0)),contas_6[n parc]-1,contas_6[n parc]))))</f>
        <v>2</v>
      </c>
      <c r="J19" s="152" t="s">
        <v>18</v>
      </c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>
      <c r="A20" s="159" t="s">
        <v>59</v>
      </c>
      <c r="B20" s="168">
        <v>637.65</v>
      </c>
      <c r="C20" s="138">
        <f>156.49+481.16</f>
        <v>637.65</v>
      </c>
      <c r="D20" s="139">
        <v>45915.0</v>
      </c>
      <c r="E20" s="164" t="str">
        <f>IF(contas_6[data]&lt;&gt;"",UPPER(TEXT(contas_6[data],"mmm")), "")</f>
        <v>SET.</v>
      </c>
      <c r="F20" s="189">
        <v>16.0</v>
      </c>
      <c r="G20" s="141">
        <v>1.0</v>
      </c>
      <c r="H20" s="142">
        <f>IF(contas_6[n parc] = 999, contas_6[valor] *1 - contas_6[valor pago] , contas_6[valor]*contas_6[n parc] - contas_6[valor pago])
</f>
        <v>0</v>
      </c>
      <c r="I20" s="143">
        <f>IF(contas_6[valor pago]="",contas_6[n parc], IF(contas_6[n parc]=999, 999, IF(AND(contas_6[n parc]=1,contas_6[total devido]=0),contas_6[n parc]-1, IF(AND(contas_6[n parc]&gt;1, OR(contas_6[total devido]&lt;&gt;0,contas_6[total devido]=0)),contas_6[n parc]-1,contas_6[n parc]))))</f>
        <v>1</v>
      </c>
      <c r="J20" s="144" t="s">
        <v>13</v>
      </c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>
      <c r="A21" s="154" t="s">
        <v>62</v>
      </c>
      <c r="B21" s="146">
        <v>316.61</v>
      </c>
      <c r="C21" s="138">
        <v>316.61</v>
      </c>
      <c r="D21" s="147">
        <v>45915.0</v>
      </c>
      <c r="E21" s="148" t="str">
        <f>IF(contas_6[data]&lt;&gt;"",UPPER(TEXT(contas_6[data],"mmm")), "")</f>
        <v>SET.</v>
      </c>
      <c r="F21" s="192">
        <v>22.0</v>
      </c>
      <c r="G21" s="149">
        <v>12.0</v>
      </c>
      <c r="H21" s="150">
        <f>IF(contas_6[n parc] = 999, contas_6[valor] *1 - contas_6[valor pago] , contas_6[valor]*contas_6[n parc] - contas_6[valor pago])
</f>
        <v>3482.71</v>
      </c>
      <c r="I21" s="151">
        <f>IF(contas_6[valor pago]="",contas_6[n parc], IF(contas_6[n parc]=999, 999, IF(AND(contas_6[n parc]=1,contas_6[total devido]=0),contas_6[n parc]-1, IF(AND(contas_6[n parc]&gt;1, OR(contas_6[total devido]&lt;&gt;0,contas_6[total devido]=0)),contas_6[n parc]-1,contas_6[n parc]))))</f>
        <v>11</v>
      </c>
      <c r="J21" s="152" t="s">
        <v>13</v>
      </c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>
      <c r="A22" s="136" t="s">
        <v>96</v>
      </c>
      <c r="B22" s="168">
        <v>0.0</v>
      </c>
      <c r="C22" s="168"/>
      <c r="D22" s="139"/>
      <c r="E22" s="164" t="str">
        <f>IF(contas_6[data]&lt;&gt;"",UPPER(TEXT(contas_6[data],"mmm")), "")</f>
        <v/>
      </c>
      <c r="F22" s="189">
        <v>1.0</v>
      </c>
      <c r="G22" s="141">
        <v>999.0</v>
      </c>
      <c r="H22" s="142">
        <f>IF(contas_6[n parc] = 999, contas_6[valor] *1 - contas_6[valor pago] , contas_6[valor]*contas_6[n parc] - contas_6[valor pago])
</f>
        <v>0</v>
      </c>
      <c r="I22" s="143">
        <f>IF(contas_6[valor pago]="",contas_6[n parc], IF(contas_6[n parc]=999, 999, IF(AND(contas_6[n parc]=1,contas_6[total devido]=0),contas_6[n parc]-1, IF(AND(contas_6[n parc]&gt;1, OR(contas_6[total devido]&lt;&gt;0,contas_6[total devido]=0)),contas_6[n parc]-1,contas_6[n parc]))))</f>
        <v>999</v>
      </c>
      <c r="J22" s="144" t="s">
        <v>37</v>
      </c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>
      <c r="A23" s="154" t="s">
        <v>45</v>
      </c>
      <c r="B23" s="146">
        <v>71.46</v>
      </c>
      <c r="C23" s="138">
        <v>71.46</v>
      </c>
      <c r="D23" s="147">
        <v>45930.0</v>
      </c>
      <c r="E23" s="148" t="str">
        <f>IF(contas_6[data]&lt;&gt;"",UPPER(TEXT(contas_6[data],"mmm")), "")</f>
        <v>SET.</v>
      </c>
      <c r="F23" s="190">
        <v>20.0</v>
      </c>
      <c r="G23" s="151">
        <v>999.0</v>
      </c>
      <c r="H23" s="150">
        <f>IF(contas_6[n parc] = 999, contas_6[valor] *1 - contas_6[valor pago] , contas_6[valor]*contas_6[n parc] - contas_6[valor pago])
</f>
        <v>0</v>
      </c>
      <c r="I23" s="151">
        <f>IF(contas_6[valor pago]="",contas_6[n parc], IF(contas_6[n parc]=999, 999, IF(AND(contas_6[n parc]=1,contas_6[total devido]=0),contas_6[n parc]-1, IF(AND(contas_6[n parc]&gt;1, OR(contas_6[total devido]&lt;&gt;0,contas_6[total devido]=0)),contas_6[n parc]-1,contas_6[n parc]))))</f>
        <v>999</v>
      </c>
      <c r="J23" s="152" t="s">
        <v>13</v>
      </c>
      <c r="K23" s="169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>
      <c r="A24" s="159" t="s">
        <v>46</v>
      </c>
      <c r="B24" s="168">
        <v>1380.97</v>
      </c>
      <c r="C24" s="138">
        <v>1380.97</v>
      </c>
      <c r="D24" s="139">
        <v>45915.0</v>
      </c>
      <c r="E24" s="164" t="str">
        <f>IF(contas_6[data]&lt;&gt;"",UPPER(TEXT(contas_6[data],"mmm")), "")</f>
        <v>SET.</v>
      </c>
      <c r="F24" s="191">
        <v>20.0</v>
      </c>
      <c r="G24" s="143">
        <v>999.0</v>
      </c>
      <c r="H24" s="142">
        <f>IF(contas_6[n parc] = 999, contas_6[valor] *1 - contas_6[valor pago] , contas_6[valor]*contas_6[n parc] - contas_6[valor pago])
</f>
        <v>0</v>
      </c>
      <c r="I24" s="143">
        <f>IF(contas_6[valor pago]="",contas_6[n parc], IF(contas_6[n parc]=999, 999, IF(AND(contas_6[n parc]=1,contas_6[total devido]=0),contas_6[n parc]-1, IF(AND(contas_6[n parc]&gt;1, OR(contas_6[total devido]&lt;&gt;0,contas_6[total devido]=0)),contas_6[n parc]-1,contas_6[n parc]))))</f>
        <v>999</v>
      </c>
      <c r="J24" s="144" t="s">
        <v>13</v>
      </c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>
      <c r="A25" s="145" t="s">
        <v>59</v>
      </c>
      <c r="B25" s="146">
        <v>219.87</v>
      </c>
      <c r="C25" s="138">
        <v>219.87</v>
      </c>
      <c r="D25" s="147">
        <v>45915.0</v>
      </c>
      <c r="E25" s="148" t="str">
        <f>IF(contas_6[data]&lt;&gt;"",UPPER(TEXT(contas_6[data],"mmm")), "")</f>
        <v>SET.</v>
      </c>
      <c r="F25" s="192">
        <v>22.0</v>
      </c>
      <c r="G25" s="149">
        <v>1.0</v>
      </c>
      <c r="H25" s="150">
        <f>IF(contas_6[n parc] = 999, contas_6[valor] *1 - contas_6[valor pago] , contas_6[valor]*contas_6[n parc] - contas_6[valor pago])
</f>
        <v>0</v>
      </c>
      <c r="I25" s="151">
        <f>IF(contas_6[valor pago]="",contas_6[n parc], IF(contas_6[n parc]=999, 999, IF(AND(contas_6[n parc]=1,contas_6[total devido]=0),contas_6[n parc]-1, IF(AND(contas_6[n parc]&gt;1, OR(contas_6[total devido]&lt;&gt;0,contas_6[total devido]=0)),contas_6[n parc]-1,contas_6[n parc]))))</f>
        <v>0</v>
      </c>
      <c r="J25" s="152" t="s">
        <v>13</v>
      </c>
      <c r="K25" s="93"/>
      <c r="L25" s="170"/>
      <c r="M25" s="93"/>
    </row>
    <row r="26">
      <c r="A26" s="159" t="s">
        <v>44</v>
      </c>
      <c r="B26" s="168">
        <v>62.55</v>
      </c>
      <c r="C26" s="168"/>
      <c r="D26" s="139"/>
      <c r="E26" s="164" t="str">
        <f>IF(contas_6[data]&lt;&gt;"",UPPER(TEXT(contas_6[data],"mmm")), "")</f>
        <v/>
      </c>
      <c r="F26" s="191">
        <v>22.0</v>
      </c>
      <c r="G26" s="143">
        <v>999.0</v>
      </c>
      <c r="H26" s="142">
        <f>IF(contas_6[n parc] = 999, contas_6[valor] *1 - contas_6[valor pago] , contas_6[valor]*contas_6[n parc] - contas_6[valor pago])
</f>
        <v>62.55</v>
      </c>
      <c r="I26" s="143">
        <f>IF(contas_6[valor pago]="",contas_6[n parc], IF(contas_6[n parc]=999, 999, IF(AND(contas_6[n parc]=1,contas_6[total devido]=0),contas_6[n parc]-1, IF(AND(contas_6[n parc]&gt;1, OR(contas_6[total devido]&lt;&gt;0,contas_6[total devido]=0)),contas_6[n parc]-1,contas_6[n parc]))))</f>
        <v>999</v>
      </c>
      <c r="J26" s="144" t="s">
        <v>37</v>
      </c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 ht="32.25" customHeight="1">
      <c r="A27" s="154" t="s">
        <v>47</v>
      </c>
      <c r="B27" s="146">
        <v>620.0</v>
      </c>
      <c r="C27" s="146"/>
      <c r="D27" s="147"/>
      <c r="E27" s="148" t="str">
        <f>IF(contas_6[data]&lt;&gt;"",UPPER(TEXT(contas_6[data],"mmm")), "")</f>
        <v/>
      </c>
      <c r="F27" s="190">
        <v>25.0</v>
      </c>
      <c r="G27" s="151">
        <v>999.0</v>
      </c>
      <c r="H27" s="150">
        <f>IF(contas_6[n parc] = 999, contas_6[valor] *1 - contas_6[valor pago] , contas_6[valor]*contas_6[n parc] - contas_6[valor pago])
</f>
        <v>620</v>
      </c>
      <c r="I27" s="151">
        <f>IF(contas_6[valor pago]="",contas_6[n parc], IF(contas_6[n parc]=999, 999, IF(AND(contas_6[n parc]=1,contas_6[total devido]=0),contas_6[n parc]-1, IF(AND(contas_6[n parc]&gt;1, OR(contas_6[total devido]&lt;&gt;0,contas_6[total devido]=0)),contas_6[n parc]-1,contas_6[n parc]))))</f>
        <v>999</v>
      </c>
      <c r="J27" s="152" t="s">
        <v>37</v>
      </c>
      <c r="K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>
      <c r="A28" s="166" t="s">
        <v>99</v>
      </c>
      <c r="B28" s="203">
        <v>300.0</v>
      </c>
      <c r="C28" s="179">
        <v>300.0</v>
      </c>
      <c r="D28" s="204">
        <v>45915.0</v>
      </c>
      <c r="E28" s="174" t="str">
        <f>IF(contas_6[data]&lt;&gt;"",UPPER(TEXT(contas_6[data],"mmm")), "")</f>
        <v>SET.</v>
      </c>
      <c r="F28" s="205">
        <v>25.0</v>
      </c>
      <c r="G28" s="206">
        <v>1.0</v>
      </c>
      <c r="H28" s="176">
        <f>IF(contas_6[n parc] = 999, contas_6[valor] *1 - contas_6[valor pago] , contas_6[valor]*contas_6[n parc] - contas_6[valor pago])
</f>
        <v>0</v>
      </c>
      <c r="I28" s="175">
        <f>IF(contas_6[valor pago]="",contas_6[n parc], IF(contas_6[n parc]=999, 999, IF(AND(contas_6[n parc]=1,contas_6[total devido]=0),contas_6[n parc]-1, IF(AND(contas_6[n parc]&gt;1, OR(contas_6[total devido]&lt;&gt;0,contas_6[total devido]=0)),contas_6[n parc]-1,contas_6[n parc]))))</f>
        <v>0</v>
      </c>
      <c r="J28" s="177" t="s">
        <v>15</v>
      </c>
    </row>
    <row r="29">
      <c r="C29" s="93"/>
      <c r="D29" s="93"/>
      <c r="E29" s="93"/>
      <c r="F29" s="93"/>
      <c r="G29" s="93"/>
      <c r="H29" s="93"/>
      <c r="I29" s="93"/>
      <c r="J29" s="93"/>
    </row>
    <row r="30">
      <c r="C30" s="93"/>
      <c r="D30" s="93"/>
      <c r="E30" s="93"/>
      <c r="F30" s="93"/>
      <c r="G30" s="93"/>
      <c r="H30" s="93"/>
      <c r="I30" s="93"/>
      <c r="J30" s="93"/>
    </row>
    <row r="31">
      <c r="C31" s="93"/>
      <c r="D31" s="93"/>
      <c r="E31" s="93"/>
      <c r="F31" s="93"/>
      <c r="G31" s="93"/>
      <c r="H31" s="93"/>
      <c r="I31" s="93"/>
      <c r="J31" s="93"/>
    </row>
    <row r="32">
      <c r="C32" s="93"/>
      <c r="D32" s="93"/>
      <c r="E32" s="93"/>
      <c r="F32" s="93"/>
      <c r="G32" s="93"/>
      <c r="H32" s="93"/>
      <c r="I32" s="93"/>
      <c r="J32" s="93"/>
    </row>
    <row r="33">
      <c r="A33" s="93"/>
      <c r="B33" s="93"/>
      <c r="C33" s="93"/>
      <c r="D33" s="93"/>
      <c r="E33" s="93"/>
      <c r="F33" s="93"/>
      <c r="G33" s="93"/>
      <c r="H33" s="93"/>
      <c r="I33" s="93"/>
      <c r="J33" s="93"/>
    </row>
  </sheetData>
  <conditionalFormatting sqref="C1:C28">
    <cfRule type="notContainsBlanks" dxfId="0" priority="1">
      <formula>LEN(TRIM(C1))&gt;0</formula>
    </cfRule>
  </conditionalFormatting>
  <dataValidations>
    <dataValidation type="list" allowBlank="1" sqref="J2:J28">
      <formula1>"debito,cartao,a pagar,pagamento,investimento"</formula1>
    </dataValidation>
    <dataValidation type="custom" allowBlank="1" showDropDown="1" sqref="D2:D28">
      <formula1>OR(NOT(ISERROR(DATEVALUE(D2))), AND(ISNUMBER(D2), LEFT(CELL("format", D2))="D"))</formula1>
    </dataValidation>
    <dataValidation type="custom" allowBlank="1" showDropDown="1" sqref="M2:M15 B2:C28 F2:I28">
      <formula1>AND(ISNUMBER(B2),(NOT(OR(NOT(ISERROR(DATEVALUE(B2))), AND(ISNUMBER(B2), LEFT(CELL("format", B2))="D")))))</formula1>
    </dataValidation>
  </dataValidations>
  <drawing r:id="rId1"/>
  <tableParts count="2"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7.88"/>
    <col customWidth="1" min="2" max="2" width="12.75"/>
    <col customWidth="1" min="3" max="3" width="15.75"/>
    <col customWidth="1" min="4" max="4" width="12.38"/>
    <col customWidth="1" min="5" max="5" width="9.0"/>
    <col customWidth="1" min="6" max="6" width="10.5"/>
    <col customWidth="1" min="7" max="7" width="10.88"/>
    <col customWidth="1" min="8" max="8" width="15.75"/>
    <col customWidth="1" min="9" max="9" width="11.25"/>
    <col customWidth="1" min="10" max="10" width="14.63"/>
    <col customWidth="1" min="11" max="11" width="5.75"/>
    <col customWidth="1" min="12" max="12" width="14.88"/>
    <col customWidth="1" min="13" max="13" width="17.5"/>
  </cols>
  <sheetData>
    <row r="1">
      <c r="A1" s="132" t="s">
        <v>0</v>
      </c>
      <c r="B1" s="133" t="s">
        <v>1</v>
      </c>
      <c r="C1" s="134" t="s">
        <v>2</v>
      </c>
      <c r="D1" s="133" t="s">
        <v>3</v>
      </c>
      <c r="E1" s="133" t="s">
        <v>4</v>
      </c>
      <c r="F1" s="133" t="s">
        <v>5</v>
      </c>
      <c r="G1" s="133" t="s">
        <v>6</v>
      </c>
      <c r="H1" s="133" t="s">
        <v>7</v>
      </c>
      <c r="I1" s="133" t="s">
        <v>8</v>
      </c>
      <c r="J1" s="135" t="s">
        <v>9</v>
      </c>
      <c r="K1" s="93"/>
      <c r="L1" s="9" t="s">
        <v>10</v>
      </c>
      <c r="M1" s="10" t="s">
        <v>11</v>
      </c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>
      <c r="A2" s="136" t="s">
        <v>31</v>
      </c>
      <c r="B2" s="153">
        <f>2675.35+133.85</f>
        <v>2809.2</v>
      </c>
      <c r="C2" s="138">
        <v>2809.2</v>
      </c>
      <c r="D2" s="139">
        <v>45930.0</v>
      </c>
      <c r="E2" s="140" t="str">
        <f>IF(contas_7[data]&lt;&gt;"",UPPER(TEXT(contas_7[data],"mmm")), "")</f>
        <v>SET.</v>
      </c>
      <c r="F2" s="189">
        <v>1.0</v>
      </c>
      <c r="G2" s="141">
        <v>999.0</v>
      </c>
      <c r="H2" s="142">
        <f>IF(contas_7[n parc] = 999, contas_7[valor] *1 - contas_7[valor pago] , contas_7[valor]*contas_7[n parc] - contas_7[valor pago])
</f>
        <v>0</v>
      </c>
      <c r="I2" s="143">
        <f>IF(contas_7[valor pago]="",contas_7[n parc], IF(contas_7[n parc]=999, 999, IF(AND(contas_7[n parc]=1,contas_7[total devido]=0),contas_7[n parc]-1, IF(AND(contas_7[n parc]&gt;1, OR(contas_7[total devido]&lt;&gt;0,contas_7[total devido]=0)),contas_7[n parc]-1,contas_7[n parc]))))</f>
        <v>999</v>
      </c>
      <c r="J2" s="144" t="s">
        <v>79</v>
      </c>
      <c r="K2" s="93"/>
      <c r="L2" s="20" t="s">
        <v>14</v>
      </c>
      <c r="M2" s="21">
        <f>SUM(contas_7[valor])-SUMIF(contas_7[pago em], "cartao", contas_7[valor])-SUMIF(contas_7[pago em], "pagamento", contas_7[valor])</f>
        <v>13955.54</v>
      </c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>
      <c r="A3" s="154" t="s">
        <v>17</v>
      </c>
      <c r="B3" s="146">
        <v>84.1</v>
      </c>
      <c r="C3" s="138">
        <v>84.1</v>
      </c>
      <c r="D3" s="147">
        <v>45931.0</v>
      </c>
      <c r="E3" s="148" t="str">
        <f>IF(contas_7[data]&lt;&gt;"",UPPER(TEXT(contas_7[data],"mmm")), "")</f>
        <v>OUT.</v>
      </c>
      <c r="F3" s="190">
        <v>1.0</v>
      </c>
      <c r="G3" s="151">
        <v>999.0</v>
      </c>
      <c r="H3" s="150">
        <f>IF(contas_7[n parc] = 999, contas_7[valor] *1 - contas_7[valor pago] , contas_7[valor]*contas_7[n parc] - contas_7[valor pago])
</f>
        <v>0</v>
      </c>
      <c r="I3" s="151">
        <f>IF(contas_7[valor pago]="",contas_7[n parc], IF(contas_7[n parc]=999, 999, IF(AND(contas_7[n parc]=1,contas_7[total devido]=0),contas_7[n parc]-1, IF(AND(contas_7[n parc]&gt;1, OR(contas_7[total devido]&lt;&gt;0,contas_7[total devido]=0)),contas_7[n parc]-1,contas_7[n parc]))))</f>
        <v>999</v>
      </c>
      <c r="J3" s="152" t="s">
        <v>13</v>
      </c>
      <c r="K3" s="93"/>
      <c r="L3" s="31" t="s">
        <v>21</v>
      </c>
      <c r="M3" s="37">
        <f>SUM(contas_7[total devido])</f>
        <v>8450.47</v>
      </c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>
      <c r="A4" s="159" t="s">
        <v>76</v>
      </c>
      <c r="B4" s="168">
        <v>0.0</v>
      </c>
      <c r="C4" s="160"/>
      <c r="D4" s="161"/>
      <c r="E4" s="164" t="str">
        <f>IF(contas_7[data]&lt;&gt;"",UPPER(TEXT(contas_7[data],"mmm")), "")</f>
        <v/>
      </c>
      <c r="F4" s="191">
        <v>1.0</v>
      </c>
      <c r="G4" s="143">
        <v>999.0</v>
      </c>
      <c r="H4" s="142">
        <f>IF(contas_7[n parc] = 999, contas_7[valor] *1 - contas_7[valor pago] , contas_7[valor]*contas_7[n parc] - contas_7[valor pago])
</f>
        <v>0</v>
      </c>
      <c r="I4" s="143">
        <f>IF(contas_7[valor pago]="",contas_7[n parc], IF(contas_7[n parc]=999, 999, IF(AND(contas_7[n parc]=1,contas_7[total devido]=0),contas_7[n parc]-1, IF(AND(contas_7[n parc]&gt;1, OR(contas_7[total devido]&lt;&gt;0,contas_7[total devido]=0)),contas_7[n parc]-1,contas_7[n parc]))))</f>
        <v>999</v>
      </c>
      <c r="J4" s="144" t="s">
        <v>37</v>
      </c>
      <c r="K4" s="93"/>
      <c r="L4" s="20" t="s">
        <v>23</v>
      </c>
      <c r="M4" s="21">
        <f>IF(SUMIF(contas_7[pago em], "debito",contas_7[valor pago]) &gt; ((SUMIF(contas_7[pago em], "pagamento", contas_7[valor]))-(SUMIF(contas_7[pago em], "investimento", contas_7[valor]))), -(SUMIF(contas_7[pago em], "debito",contas_7[valor pago]) - ((SUMIF(contas_7[pago em], "pagamento", contas_7[valor]))-(SUMIF(contas_7[pago em], "investimento", contas_7[valor])))), ((SUMIF(contas_7[pago em], "pagamento", contas_7[valor]))-(SUMIF(contas_7[pago em], "investimento", contas_7[valor]))) - SUMIF(contas_7[pago em], "debito",contas_7[valor pago]))</f>
        <v>-3608.33</v>
      </c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>
      <c r="A5" s="145" t="s">
        <v>15</v>
      </c>
      <c r="B5" s="180">
        <v>1529.6</v>
      </c>
      <c r="C5" s="138">
        <v>1529.6</v>
      </c>
      <c r="D5" s="147">
        <v>45930.0</v>
      </c>
      <c r="E5" s="158" t="str">
        <f>IF(contas_7[data]&lt;&gt;"",UPPER(TEXT(contas_7[data],"mmm")), "")</f>
        <v>SET.</v>
      </c>
      <c r="F5" s="192">
        <v>1.0</v>
      </c>
      <c r="G5" s="149">
        <v>999.0</v>
      </c>
      <c r="H5" s="150">
        <f>IF(contas_7[n parc] = 999, contas_7[valor] *1 - contas_7[valor pago] , contas_7[valor]*contas_7[n parc] - contas_7[valor pago])
</f>
        <v>0</v>
      </c>
      <c r="I5" s="151">
        <f>IF(contas_7[valor pago]="",contas_7[n parc], IF(contas_7[n parc]=999, 999, IF(AND(contas_7[n parc]=1,contas_7[total devido]=0),contas_7[n parc]-1, IF(AND(contas_7[n parc]&gt;1, OR(contas_7[total devido]&lt;&gt;0,contas_7[total devido]=0)),contas_7[n parc]-1,contas_7[n parc]))))</f>
        <v>999</v>
      </c>
      <c r="J5" s="152" t="s">
        <v>15</v>
      </c>
      <c r="K5" s="93"/>
      <c r="L5" s="31" t="s">
        <v>25</v>
      </c>
      <c r="M5" s="32">
        <f>SUM(contas_7[valor pago])-SUMIF(contas_7[pago em], "cartao", contas_7[valor])-SUMIF(contas_7[pago em], "pagamento", contas_7[valor])</f>
        <v>12470.2</v>
      </c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>
      <c r="A6" s="136" t="s">
        <v>92</v>
      </c>
      <c r="B6" s="168">
        <v>249.42</v>
      </c>
      <c r="C6" s="138">
        <v>249.42</v>
      </c>
      <c r="D6" s="139">
        <v>45930.0</v>
      </c>
      <c r="E6" s="164" t="str">
        <f>IF(contas_7[data]&lt;&gt;"",UPPER(TEXT(contas_7[data],"mmm")), "")</f>
        <v>SET.</v>
      </c>
      <c r="F6" s="189">
        <v>1.0</v>
      </c>
      <c r="G6" s="141">
        <v>999.0</v>
      </c>
      <c r="H6" s="142">
        <f>IF(contas_7[n parc] = 999, contas_7[valor] *1 - contas_7[valor pago] , contas_7[valor]*contas_7[n parc] - contas_7[valor pago])
</f>
        <v>0</v>
      </c>
      <c r="I6" s="143">
        <f>IF(contas_7[valor pago]="",contas_7[n parc], IF(contas_7[n parc]=999, 999, IF(AND(contas_7[n parc]=1,contas_7[total devido]=0),contas_7[n parc]-1, IF(AND(contas_7[n parc]&gt;1, OR(contas_7[total devido]&lt;&gt;0,contas_7[total devido]=0)),contas_7[n parc]-1,contas_7[n parc]))))</f>
        <v>999</v>
      </c>
      <c r="J6" s="144" t="s">
        <v>13</v>
      </c>
      <c r="K6" s="93"/>
      <c r="L6" s="40" t="s">
        <v>19</v>
      </c>
      <c r="M6" s="21">
        <f>SUMIF(contas_7[pago em], "pagamento", contas_7[valor])</f>
        <v>9051.46</v>
      </c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>
      <c r="A7" s="145" t="s">
        <v>93</v>
      </c>
      <c r="B7" s="146">
        <v>551.11</v>
      </c>
      <c r="C7" s="138">
        <v>551.11</v>
      </c>
      <c r="D7" s="147">
        <v>45930.0</v>
      </c>
      <c r="E7" s="148" t="str">
        <f>IF(contas_7[data]&lt;&gt;"",UPPER(TEXT(contas_7[data],"mmm")), "")</f>
        <v>SET.</v>
      </c>
      <c r="F7" s="192">
        <v>1.0</v>
      </c>
      <c r="G7" s="151">
        <v>999.0</v>
      </c>
      <c r="H7" s="150">
        <f>IF(contas_7[n parc] = 999, contas_7[valor] *1 - contas_7[valor pago] , contas_7[valor]*contas_7[n parc] - contas_7[valor pago])
</f>
        <v>0</v>
      </c>
      <c r="I7" s="151">
        <f>IF(contas_7[valor pago]="",contas_7[n parc], IF(contas_7[n parc]=999, 999, IF(AND(contas_7[n parc]=1,contas_7[total devido]=0),contas_7[n parc]-1, IF(AND(contas_7[n parc]&gt;1, OR(contas_7[total devido]&lt;&gt;0,contas_7[total devido]=0)),contas_7[n parc]-1,contas_7[n parc]))))</f>
        <v>999</v>
      </c>
      <c r="J7" s="152" t="s">
        <v>13</v>
      </c>
      <c r="K7" s="93"/>
      <c r="L7" s="197" t="s">
        <v>16</v>
      </c>
      <c r="M7" s="32">
        <f>(SUM(contas_7[valor])-SUMIF(contas_7[pago em], "cartao", contas_7[valor])-SUMIF(contas_7[pago em], "pagamento", contas_7[valor]))-(SUM(contas_7[valor pago])-SUMIF(contas_7[pago em], "cartao", contas_7[valor])-SUMIF(contas_7[pago em], "pagamento", contas_7[valor]))</f>
        <v>1485.34</v>
      </c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>
      <c r="A8" s="159" t="s">
        <v>22</v>
      </c>
      <c r="B8" s="168">
        <v>20.9</v>
      </c>
      <c r="C8" s="138">
        <v>20.9</v>
      </c>
      <c r="D8" s="139">
        <v>45931.0</v>
      </c>
      <c r="E8" s="140" t="str">
        <f>IF(contas_7[data]&lt;&gt;"",UPPER(TEXT(contas_7[data],"mmm")), "")</f>
        <v>OUT.</v>
      </c>
      <c r="F8" s="189">
        <v>1.0</v>
      </c>
      <c r="G8" s="143">
        <v>999.0</v>
      </c>
      <c r="H8" s="142">
        <f>IF(contas_7[n parc] = 999, contas_7[valor] *1 - contas_7[valor pago] , contas_7[valor]*contas_7[n parc] - contas_7[valor pago])
</f>
        <v>0</v>
      </c>
      <c r="I8" s="143">
        <f>IF(contas_7[valor pago]="",contas_7[n parc], IF(contas_7[n parc]=999, 999, IF(AND(contas_7[n parc]=1,contas_7[total devido]=0),contas_7[n parc]-1, IF(AND(contas_7[n parc]&gt;1, OR(contas_7[total devido]&lt;&gt;0,contas_7[total devido]=0)),contas_7[n parc]-1,contas_7[n parc]))))</f>
        <v>999</v>
      </c>
      <c r="J8" s="144" t="s">
        <v>18</v>
      </c>
      <c r="K8" s="93"/>
      <c r="L8" s="40" t="s">
        <v>27</v>
      </c>
      <c r="M8" s="21">
        <f>SUMIF(contas_7[pago em], "cartao", contas_7[valor])</f>
        <v>1183.33</v>
      </c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>
      <c r="A9" s="145" t="s">
        <v>100</v>
      </c>
      <c r="B9" s="207">
        <v>3512.0</v>
      </c>
      <c r="C9" s="138">
        <v>3512.0</v>
      </c>
      <c r="D9" s="208">
        <v>45930.0</v>
      </c>
      <c r="E9" s="148" t="str">
        <f>IF(contas_7[data]&lt;&gt;"",UPPER(TEXT(contas_7[data],"mmm")), "")</f>
        <v>SET.</v>
      </c>
      <c r="F9" s="192">
        <v>1.0</v>
      </c>
      <c r="G9" s="149">
        <v>1.0</v>
      </c>
      <c r="H9" s="150">
        <f>IF(contas_7[n parc] = 999, contas_7[valor] *1 - contas_7[valor pago] , contas_7[valor]*contas_7[n parc] - contas_7[valor pago])
</f>
        <v>0</v>
      </c>
      <c r="I9" s="151">
        <f>IF(contas_7[valor pago]="",contas_7[n parc], IF(contas_7[n parc]=999, 999, IF(AND(contas_7[n parc]=1,contas_7[total devido]=0),contas_7[n parc]-1, IF(AND(contas_7[n parc]&gt;1, OR(contas_7[total devido]&lt;&gt;0,contas_7[total devido]=0)),contas_7[n parc]-1,contas_7[n parc]))))</f>
        <v>0</v>
      </c>
      <c r="J9" s="152" t="s">
        <v>13</v>
      </c>
      <c r="K9" s="93"/>
      <c r="L9" s="31" t="s">
        <v>29</v>
      </c>
      <c r="M9" s="32">
        <f>SUMIF(contas_7[pago em], "pagamento", contas_7[valor])*10%</f>
        <v>905.146</v>
      </c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>
      <c r="A10" s="209" t="s">
        <v>101</v>
      </c>
      <c r="B10" s="210">
        <v>4539.86</v>
      </c>
      <c r="C10" s="211">
        <v>4539.86</v>
      </c>
      <c r="D10" s="212">
        <v>45930.0</v>
      </c>
      <c r="E10" s="213" t="str">
        <f>IF('out2025'!$D$2:$D$29&lt;&gt;"",UPPER(TEXT('out2025'!$D$2:$D$29,"mmm")), "")</f>
        <v>SET.</v>
      </c>
      <c r="F10" s="214">
        <v>1.0</v>
      </c>
      <c r="G10" s="215">
        <v>1.0</v>
      </c>
      <c r="H10" s="216">
        <f>IF('out2025'!$G$2:$G$29 = 999, 'out2025'!$B$2:$B$29 *1 - 'out2025'!$C$2:$C$29 , 'out2025'!$B$2:$B$29*'out2025'!$G$2:$G$29 - 'out2025'!$C$2:$C$29)
</f>
        <v>0</v>
      </c>
      <c r="I10" s="215">
        <f>IF('out2025'!$C$2:$C$29="",'out2025'!$G$2:$G$29, IF('out2025'!$G$2:$G$29=999, 999, IF(AND('out2025'!$G$2:$G$29=1,'out2025'!$H$2:$H$29=0),'out2025'!$G$2:$G$29-1, IF(AND('out2025'!$G$2:$G$29&gt;1, OR('out2025'!$H$2:$H$29&lt;&gt;0,'out2025'!$H$2:$H$29=0)),'out2025'!$G$2:$G$29-1,'out2025'!$G$2:$G$29))))</f>
        <v>0</v>
      </c>
      <c r="J10" s="217" t="s">
        <v>15</v>
      </c>
      <c r="K10" s="93"/>
      <c r="L10" s="20" t="s">
        <v>31</v>
      </c>
      <c r="M10" s="21">
        <f>SUMIF(contas_7[pago em], "investimento", contas_7[valor])</f>
        <v>2809.2</v>
      </c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</row>
    <row r="11">
      <c r="A11" s="145" t="s">
        <v>96</v>
      </c>
      <c r="B11" s="146">
        <v>253.19</v>
      </c>
      <c r="C11" s="138">
        <v>253.19</v>
      </c>
      <c r="D11" s="147">
        <v>45930.0</v>
      </c>
      <c r="E11" s="148" t="str">
        <f>IF(contas_7[data]&lt;&gt;"",UPPER(TEXT(contas_7[data],"mmm")), "")</f>
        <v>SET.</v>
      </c>
      <c r="F11" s="192">
        <v>1.0</v>
      </c>
      <c r="G11" s="149">
        <v>999.0</v>
      </c>
      <c r="H11" s="150">
        <f>IF(contas_7[n parc] = 999, contas_7[valor] *1 - contas_7[valor pago] , contas_7[valor]*contas_7[n parc] - contas_7[valor pago])
</f>
        <v>0</v>
      </c>
      <c r="I11" s="151">
        <f>IF(contas_7[valor pago]="",contas_7[n parc], IF(contas_7[n parc]=999, 999, IF(AND(contas_7[n parc]=1,contas_7[total devido]=0),contas_7[n parc]-1, IF(AND(contas_7[n parc]&gt;1, OR(contas_7[total devido]&lt;&gt;0,contas_7[total devido]=0)),contas_7[n parc]-1,contas_7[n parc]))))</f>
        <v>999</v>
      </c>
      <c r="J11" s="152" t="s">
        <v>13</v>
      </c>
      <c r="K11" s="93"/>
      <c r="L11" s="31" t="s">
        <v>33</v>
      </c>
      <c r="M11" s="48">
        <v>1917.0</v>
      </c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>
      <c r="A12" s="159" t="s">
        <v>26</v>
      </c>
      <c r="B12" s="168">
        <v>109.99</v>
      </c>
      <c r="C12" s="138">
        <v>109.99</v>
      </c>
      <c r="D12" s="139">
        <v>45930.0</v>
      </c>
      <c r="E12" s="164" t="str">
        <f>IF(contas_7[data]&lt;&gt;"",UPPER(TEXT(contas_7[data],"mmm")), "")</f>
        <v>SET.</v>
      </c>
      <c r="F12" s="191">
        <v>4.0</v>
      </c>
      <c r="G12" s="141">
        <v>999.0</v>
      </c>
      <c r="H12" s="142">
        <f>IF(contas_7[n parc] = 999, contas_7[valor] *1 - contas_7[valor pago] , contas_7[valor]*contas_7[n parc] - contas_7[valor pago])
</f>
        <v>0</v>
      </c>
      <c r="I12" s="143">
        <f>IF(contas_7[valor pago]="",contas_7[n parc], IF(contas_7[n parc]=999, 999, IF(AND(contas_7[n parc]=1,contas_7[total devido]=0),contas_7[n parc]-1, IF(AND(contas_7[n parc]&gt;1, OR(contas_7[total devido]&lt;&gt;0,contas_7[total devido]=0)),contas_7[n parc]-1,contas_7[n parc]))))</f>
        <v>999</v>
      </c>
      <c r="J12" s="144" t="s">
        <v>18</v>
      </c>
      <c r="K12" s="93"/>
      <c r="L12" s="49" t="s">
        <v>35</v>
      </c>
      <c r="M12" s="21">
        <f>600+317+139</f>
        <v>1056</v>
      </c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>
      <c r="A13" s="154" t="s">
        <v>59</v>
      </c>
      <c r="B13" s="146">
        <v>52.01</v>
      </c>
      <c r="C13" s="138">
        <v>52.01</v>
      </c>
      <c r="D13" s="147">
        <v>45930.0</v>
      </c>
      <c r="E13" s="148" t="str">
        <f>IF(contas_7[data]&lt;&gt;"",UPPER(TEXT(contas_7[data],"mmm")), "")</f>
        <v>SET.</v>
      </c>
      <c r="F13" s="192">
        <v>9.0</v>
      </c>
      <c r="G13" s="149">
        <v>999.0</v>
      </c>
      <c r="H13" s="150">
        <f>IF(contas_7[n parc] = 999, contas_7[valor] *1 - contas_7[valor pago] , contas_7[valor]*contas_7[n parc] - contas_7[valor pago])
</f>
        <v>0</v>
      </c>
      <c r="I13" s="151">
        <f>IF(contas_7[valor pago]="",contas_7[n parc], IF(contas_7[n parc]=999, 999, IF(AND(contas_7[n parc]=1,contas_7[total devido]=0),contas_7[n parc]-1, IF(AND(contas_7[n parc]&gt;1, OR(contas_7[total devido]&lt;&gt;0,contas_7[total devido]=0)),contas_7[n parc]-1,contas_7[n parc]))))</f>
        <v>999</v>
      </c>
      <c r="J13" s="152" t="s">
        <v>13</v>
      </c>
      <c r="K13" s="93"/>
      <c r="L13" s="165" t="s">
        <v>38</v>
      </c>
      <c r="M13" s="32">
        <f>1000+300-300</f>
        <v>1000</v>
      </c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>
      <c r="A14" s="159" t="s">
        <v>52</v>
      </c>
      <c r="B14" s="168">
        <v>333.86</v>
      </c>
      <c r="C14" s="138">
        <v>333.86</v>
      </c>
      <c r="D14" s="139">
        <v>45930.0</v>
      </c>
      <c r="E14" s="164" t="str">
        <f>IF(contas_7[data]&lt;&gt;"",UPPER(TEXT(contas_7[data],"mmm")), "")</f>
        <v>SET.</v>
      </c>
      <c r="F14" s="191">
        <v>9.0</v>
      </c>
      <c r="G14" s="141">
        <v>6.0</v>
      </c>
      <c r="H14" s="142">
        <f>IF(contas_7[n parc] = 999, contas_7[valor] *1 - contas_7[valor pago] , contas_7[valor]*contas_7[n parc] - contas_7[valor pago])
</f>
        <v>1669.3</v>
      </c>
      <c r="I14" s="143">
        <f>IF(contas_7[valor pago]="",contas_7[n parc], IF(contas_7[n parc]=999, 999, IF(AND(contas_7[n parc]=1,contas_7[total devido]=0),contas_7[n parc]-1, IF(AND(contas_7[n parc]&gt;1, OR(contas_7[total devido]&lt;&gt;0,contas_7[total devido]=0)),contas_7[n parc]-1,contas_7[n parc]))))</f>
        <v>5</v>
      </c>
      <c r="J14" s="144" t="s">
        <v>13</v>
      </c>
      <c r="K14" s="93"/>
      <c r="L14" s="199" t="s">
        <v>80</v>
      </c>
      <c r="M14" s="200">
        <f>SUMIF(contas_7[n parc], "999", contas_7[valor])-SUMIF(contas_7[pago em], "pagamento", contas_7[valor])</f>
        <v>4715.39</v>
      </c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>
      <c r="A15" s="154" t="s">
        <v>34</v>
      </c>
      <c r="B15" s="146">
        <f>231.92+230</f>
        <v>461.92</v>
      </c>
      <c r="C15" s="138">
        <f>231.92</f>
        <v>231.92</v>
      </c>
      <c r="D15" s="147">
        <v>45930.0</v>
      </c>
      <c r="E15" s="148" t="str">
        <f>IF(contas_7[data]&lt;&gt;"",UPPER(TEXT(contas_7[data],"mmm")), "")</f>
        <v>SET.</v>
      </c>
      <c r="F15" s="190">
        <v>10.0</v>
      </c>
      <c r="G15" s="151">
        <v>999.0</v>
      </c>
      <c r="H15" s="150">
        <f>IF(contas_7[n parc] = 999, contas_7[valor] *1 - contas_7[valor pago] , contas_7[valor]*contas_7[n parc] - contas_7[valor pago])
</f>
        <v>230</v>
      </c>
      <c r="I15" s="151">
        <f>IF(contas_7[valor pago]="",contas_7[n parc], IF(contas_7[n parc]=999, 999, IF(AND(contas_7[n parc]=1,contas_7[total devido]=0),contas_7[n parc]-1, IF(AND(contas_7[n parc]&gt;1, OR(contas_7[total devido]&lt;&gt;0,contas_7[total devido]=0)),contas_7[n parc]-1,contas_7[n parc]))))</f>
        <v>999</v>
      </c>
      <c r="J15" s="152" t="s">
        <v>13</v>
      </c>
      <c r="K15" s="93"/>
      <c r="L15" s="201" t="s">
        <v>97</v>
      </c>
      <c r="M15" s="202">
        <v>200.0</v>
      </c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>
      <c r="A16" s="159" t="s">
        <v>36</v>
      </c>
      <c r="B16" s="168">
        <v>116.6</v>
      </c>
      <c r="C16" s="168"/>
      <c r="D16" s="139"/>
      <c r="E16" s="164" t="str">
        <f>IF(contas_7[data]&lt;&gt;"",UPPER(TEXT(contas_7[data],"mmm")), "")</f>
        <v/>
      </c>
      <c r="F16" s="191">
        <v>13.0</v>
      </c>
      <c r="G16" s="143">
        <v>999.0</v>
      </c>
      <c r="H16" s="142">
        <f>IF(contas_7[n parc] = 999, contas_7[valor] *1 - contas_7[valor pago] , contas_7[valor]*contas_7[n parc] - contas_7[valor pago])
</f>
        <v>116.6</v>
      </c>
      <c r="I16" s="143">
        <f>IF(contas_7[valor pago]="",contas_7[n parc], IF(contas_7[n parc]=999, 999, IF(AND(contas_7[n parc]=1,contas_7[total devido]=0),contas_7[n parc]-1, IF(AND(contas_7[n parc]&gt;1, OR(contas_7[total devido]&lt;&gt;0,contas_7[total devido]=0)),contas_7[n parc]-1,contas_7[n parc]))))</f>
        <v>999</v>
      </c>
      <c r="J16" s="144" t="s">
        <v>18</v>
      </c>
      <c r="K16" s="93"/>
      <c r="L16" s="198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>
      <c r="A17" s="145" t="s">
        <v>84</v>
      </c>
      <c r="B17" s="146">
        <v>2982.0</v>
      </c>
      <c r="C17" s="138">
        <v>2982.0</v>
      </c>
      <c r="D17" s="147">
        <v>45945.0</v>
      </c>
      <c r="E17" s="148" t="str">
        <f>IF(contas_7[data]&lt;&gt;"",UPPER(TEXT(contas_7[data],"mmm")), "")</f>
        <v>OUT.</v>
      </c>
      <c r="F17" s="192">
        <v>15.0</v>
      </c>
      <c r="G17" s="149">
        <v>999.0</v>
      </c>
      <c r="H17" s="150">
        <f>IF(contas_7[n parc] = 999, contas_7[valor] *1 - contas_7[valor pago] , contas_7[valor]*contas_7[n parc] - contas_7[valor pago])
</f>
        <v>0</v>
      </c>
      <c r="I17" s="151">
        <f>IF(contas_7[valor pago]="",contas_7[n parc], IF(contas_7[n parc]=999, 999, IF(AND(contas_7[n parc]=1,contas_7[total devido]=0),contas_7[n parc]-1, IF(AND(contas_7[n parc]&gt;1, OR(contas_7[total devido]&lt;&gt;0,contas_7[total devido]=0)),contas_7[n parc]-1,contas_7[n parc]))))</f>
        <v>999</v>
      </c>
      <c r="J17" s="152" t="s">
        <v>15</v>
      </c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>
      <c r="A18" s="159" t="s">
        <v>40</v>
      </c>
      <c r="B18" s="168">
        <v>450.0</v>
      </c>
      <c r="C18" s="138">
        <v>320.0</v>
      </c>
      <c r="D18" s="139">
        <v>45945.0</v>
      </c>
      <c r="E18" s="164" t="str">
        <f>IF(contas_7[data]&lt;&gt;"",UPPER(TEXT(contas_7[data],"mmm")), "")</f>
        <v>OUT.</v>
      </c>
      <c r="F18" s="191">
        <v>15.0</v>
      </c>
      <c r="G18" s="143">
        <v>999.0</v>
      </c>
      <c r="H18" s="142">
        <f>IF(contas_7[n parc] = 999, contas_7[valor] *1 - contas_7[valor pago] , contas_7[valor]*contas_7[n parc] - contas_7[valor pago])
</f>
        <v>130</v>
      </c>
      <c r="I18" s="143">
        <f>IF(contas_7[valor pago]="",contas_7[n parc], IF(contas_7[n parc]=999, 999, IF(AND(contas_7[n parc]=1,contas_7[total devido]=0),contas_7[n parc]-1, IF(AND(contas_7[n parc]&gt;1, OR(contas_7[total devido]&lt;&gt;0,contas_7[total devido]=0)),contas_7[n parc]-1,contas_7[n parc]))))</f>
        <v>999</v>
      </c>
      <c r="J18" s="144" t="s">
        <v>18</v>
      </c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>
      <c r="A19" s="145" t="s">
        <v>94</v>
      </c>
      <c r="B19" s="146">
        <v>1969.74</v>
      </c>
      <c r="C19" s="138">
        <v>1969.74</v>
      </c>
      <c r="D19" s="147">
        <v>45945.0</v>
      </c>
      <c r="E19" s="148" t="str">
        <f>IF(contas_7[data]&lt;&gt;"",UPPER(TEXT(contas_7[data],"mmm")), "")</f>
        <v>OUT.</v>
      </c>
      <c r="F19" s="192">
        <v>15.0</v>
      </c>
      <c r="G19" s="149">
        <v>999.0</v>
      </c>
      <c r="H19" s="150">
        <f>IF(contas_7[n parc] = 999, contas_7[valor] *1 - contas_7[valor pago] , contas_7[valor]*contas_7[n parc] - contas_7[valor pago])
</f>
        <v>0</v>
      </c>
      <c r="I19" s="151">
        <f>IF(contas_7[valor pago]="",contas_7[n parc], IF(contas_7[n parc]=999, 999, IF(AND(contas_7[n parc]=1,contas_7[total devido]=0),contas_7[n parc]-1, IF(AND(contas_7[n parc]&gt;1, OR(contas_7[total devido]&lt;&gt;0,contas_7[total devido]=0)),contas_7[n parc]-1,contas_7[n parc]))))</f>
        <v>999</v>
      </c>
      <c r="J19" s="152" t="s">
        <v>13</v>
      </c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>
      <c r="A20" s="136" t="s">
        <v>102</v>
      </c>
      <c r="B20" s="168">
        <v>450.0</v>
      </c>
      <c r="C20" s="168"/>
      <c r="D20" s="139"/>
      <c r="E20" s="164" t="str">
        <f>IF(contas_7[data]&lt;&gt;"",UPPER(TEXT(contas_7[data],"mmm")), "")</f>
        <v/>
      </c>
      <c r="F20" s="189">
        <v>15.0</v>
      </c>
      <c r="G20" s="141">
        <v>1.0</v>
      </c>
      <c r="H20" s="142">
        <f>IF(contas_7[n parc] = 999, contas_7[valor] *1 - contas_7[valor pago] , contas_7[valor]*contas_7[n parc] - contas_7[valor pago])
</f>
        <v>450</v>
      </c>
      <c r="I20" s="143">
        <f>IF(contas_7[valor pago]="",contas_7[n parc], IF(contas_7[n parc]=999, 999, IF(AND(contas_7[n parc]=1,contas_7[total devido]=0),contas_7[n parc]-1, IF(AND(contas_7[n parc]&gt;1, OR(contas_7[total devido]&lt;&gt;0,contas_7[total devido]=0)),contas_7[n parc]-1,contas_7[n parc]))))</f>
        <v>1</v>
      </c>
      <c r="J20" s="218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>
      <c r="A21" s="145" t="s">
        <v>98</v>
      </c>
      <c r="B21" s="146">
        <v>195.75</v>
      </c>
      <c r="C21" s="138">
        <v>200.0</v>
      </c>
      <c r="D21" s="147">
        <v>45930.0</v>
      </c>
      <c r="E21" s="148" t="str">
        <f>IF(contas_7[data]&lt;&gt;"",UPPER(TEXT(contas_7[data],"mmm")), "")</f>
        <v>SET.</v>
      </c>
      <c r="F21" s="190">
        <v>15.0</v>
      </c>
      <c r="G21" s="149">
        <v>8.0</v>
      </c>
      <c r="H21" s="150">
        <f>IF(contas_7[n parc] = 999, contas_7[valor] *1 - contas_7[valor pago] , contas_7[valor]*contas_7[n parc] - contas_7[valor pago])
</f>
        <v>1366</v>
      </c>
      <c r="I21" s="151">
        <f>IF(contas_7[valor pago]="",contas_7[n parc], IF(contas_7[n parc]=999, 999, IF(AND(contas_7[n parc]=1,contas_7[total devido]=0),contas_7[n parc]-1, IF(AND(contas_7[n parc]&gt;1, OR(contas_7[total devido]&lt;&gt;0,contas_7[total devido]=0)),contas_7[n parc]-1,contas_7[n parc]))))</f>
        <v>7</v>
      </c>
      <c r="J21" s="152" t="s">
        <v>13</v>
      </c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>
      <c r="A22" s="159" t="s">
        <v>43</v>
      </c>
      <c r="B22" s="168">
        <f>275.84</f>
        <v>275.84</v>
      </c>
      <c r="C22" s="138">
        <v>542.85</v>
      </c>
      <c r="D22" s="139">
        <v>45932.0</v>
      </c>
      <c r="E22" s="164" t="str">
        <f>IF(contas_7[data]&lt;&gt;"",UPPER(TEXT(contas_7[data],"mmm")), "")</f>
        <v>OUT.</v>
      </c>
      <c r="F22" s="191">
        <v>16.0</v>
      </c>
      <c r="G22" s="141">
        <v>3.0</v>
      </c>
      <c r="H22" s="142">
        <f>IF(contas_7[n parc] = 999, contas_7[valor] *1 - contas_7[valor pago] , contas_7[valor]*contas_7[n parc] - contas_7[valor pago])
</f>
        <v>284.67</v>
      </c>
      <c r="I22" s="143">
        <f>IF(contas_7[valor pago]="",contas_7[n parc], IF(contas_7[n parc]=999, 999, IF(AND(contas_7[n parc]=1,contas_7[total devido]=0),contas_7[n parc]-1, IF(AND(contas_7[n parc]&gt;1, OR(contas_7[total devido]&lt;&gt;0,contas_7[total devido]=0)),contas_7[n parc]-1,contas_7[n parc]))))</f>
        <v>2</v>
      </c>
      <c r="J22" s="144" t="s">
        <v>18</v>
      </c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>
      <c r="A23" s="154" t="s">
        <v>55</v>
      </c>
      <c r="B23" s="155">
        <v>210.0</v>
      </c>
      <c r="C23" s="146"/>
      <c r="D23" s="147">
        <v>45946.0</v>
      </c>
      <c r="E23" s="148" t="str">
        <f>IF(contas_7[data]&lt;&gt;"",UPPER(TEXT(contas_7[data],"mmm")), "")</f>
        <v>OUT.</v>
      </c>
      <c r="F23" s="190">
        <v>16.0</v>
      </c>
      <c r="G23" s="149">
        <v>2.0</v>
      </c>
      <c r="H23" s="150">
        <f>IF(contas_7[n parc] = 999, contas_7[valor] *1 - contas_7[valor pago] , contas_7[valor]*contas_7[n parc] - contas_7[valor pago])
</f>
        <v>420</v>
      </c>
      <c r="I23" s="151">
        <f>IF(contas_7[valor pago]="",contas_7[n parc], IF(contas_7[n parc]=999, 999, IF(AND(contas_7[n parc]=1,contas_7[total devido]=0),contas_7[n parc]-1, IF(AND(contas_7[n parc]&gt;1, OR(contas_7[total devido]&lt;&gt;0,contas_7[total devido]=0)),contas_7[n parc]-1,contas_7[n parc]))))</f>
        <v>2</v>
      </c>
      <c r="J23" s="152" t="s">
        <v>18</v>
      </c>
      <c r="K23" s="169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>
      <c r="A24" s="159" t="s">
        <v>59</v>
      </c>
      <c r="B24" s="168">
        <v>477.8</v>
      </c>
      <c r="C24" s="138">
        <v>477.8</v>
      </c>
      <c r="D24" s="139">
        <v>45945.0</v>
      </c>
      <c r="E24" s="164" t="str">
        <f>IF(contas_7[data]&lt;&gt;"",UPPER(TEXT(contas_7[data],"mmm")), "")</f>
        <v>OUT.</v>
      </c>
      <c r="F24" s="189">
        <v>16.0</v>
      </c>
      <c r="G24" s="141">
        <v>1.0</v>
      </c>
      <c r="H24" s="142">
        <f>IF(contas_7[n parc] = 999, contas_7[valor] *1 - contas_7[valor pago] , contas_7[valor]*contas_7[n parc] - contas_7[valor pago])
</f>
        <v>0</v>
      </c>
      <c r="I24" s="143">
        <f>IF(contas_7[valor pago]="",contas_7[n parc], IF(contas_7[n parc]=999, 999, IF(AND(contas_7[n parc]=1,contas_7[total devido]=0),contas_7[n parc]-1, IF(AND(contas_7[n parc]&gt;1, OR(contas_7[total devido]&lt;&gt;0,contas_7[total devido]=0)),contas_7[n parc]-1,contas_7[n parc]))))</f>
        <v>0</v>
      </c>
      <c r="J24" s="144" t="s">
        <v>13</v>
      </c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>
      <c r="A25" s="154" t="s">
        <v>46</v>
      </c>
      <c r="B25" s="146">
        <f>916.57+320.68</f>
        <v>1237.25</v>
      </c>
      <c r="C25" s="138">
        <v>1237.25</v>
      </c>
      <c r="D25" s="147">
        <v>45930.0</v>
      </c>
      <c r="E25" s="148" t="str">
        <f>IF(contas_7[data]&lt;&gt;"",UPPER(TEXT(contas_7[data],"mmm")), "")</f>
        <v>SET.</v>
      </c>
      <c r="F25" s="192">
        <v>16.0</v>
      </c>
      <c r="G25" s="151">
        <v>999.0</v>
      </c>
      <c r="H25" s="150">
        <f>IF(contas_7[n parc] = 999, contas_7[valor] *1 - contas_7[valor pago] , contas_7[valor]*contas_7[n parc] - contas_7[valor pago])
</f>
        <v>0</v>
      </c>
      <c r="I25" s="151">
        <f>IF(contas_7[valor pago]="",contas_7[n parc], IF(contas_7[n parc]=999, 999, IF(AND(contas_7[n parc]=1,contas_7[total devido]=0),contas_7[n parc]-1, IF(AND(contas_7[n parc]&gt;1, OR(contas_7[total devido]&lt;&gt;0,contas_7[total devido]=0)),contas_7[n parc]-1,contas_7[n parc]))))</f>
        <v>999</v>
      </c>
      <c r="J25" s="152" t="s">
        <v>13</v>
      </c>
      <c r="K25" s="219"/>
      <c r="L25" s="220"/>
      <c r="M25" s="219"/>
      <c r="N25" s="219"/>
      <c r="O25" s="219"/>
      <c r="P25" s="219"/>
      <c r="Q25" s="219"/>
      <c r="R25" s="219"/>
      <c r="S25" s="219"/>
      <c r="T25" s="219"/>
      <c r="U25" s="219"/>
      <c r="V25" s="219"/>
      <c r="W25" s="219"/>
      <c r="X25" s="219"/>
      <c r="Y25" s="219"/>
      <c r="Z25" s="219"/>
    </row>
    <row r="26">
      <c r="A26" s="154" t="s">
        <v>45</v>
      </c>
      <c r="B26" s="155">
        <f>69.9+71.46</f>
        <v>141.36</v>
      </c>
      <c r="C26" s="146">
        <v>141.36</v>
      </c>
      <c r="D26" s="147">
        <v>45930.0</v>
      </c>
      <c r="E26" s="148" t="str">
        <f>IF(contas_7[data]&lt;&gt;"",UPPER(TEXT(contas_7[data],"mmm")), "")</f>
        <v>SET.</v>
      </c>
      <c r="F26" s="190">
        <v>20.0</v>
      </c>
      <c r="G26" s="151">
        <v>999.0</v>
      </c>
      <c r="H26" s="150">
        <f>IF(contas_7[n parc] = 999, contas_7[valor] *1 - contas_7[valor pago] , contas_7[valor]*contas_7[n parc] - contas_7[valor pago])
</f>
        <v>0</v>
      </c>
      <c r="I26" s="151">
        <f>IF(contas_7[valor pago]="",contas_7[n parc], IF(contas_7[n parc]=999, 999, IF(AND(contas_7[n parc]=1,contas_7[total devido]=0),contas_7[n parc]-1, IF(AND(contas_7[n parc]&gt;1, OR(contas_7[total devido]&lt;&gt;0,contas_7[total devido]=0)),contas_7[n parc]-1,contas_7[n parc]))))</f>
        <v>999</v>
      </c>
      <c r="J26" s="152" t="s">
        <v>13</v>
      </c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 ht="32.25" customHeight="1">
      <c r="A27" s="154" t="s">
        <v>62</v>
      </c>
      <c r="B27" s="146">
        <v>316.39</v>
      </c>
      <c r="C27" s="138">
        <v>316.39</v>
      </c>
      <c r="D27" s="147">
        <v>45945.0</v>
      </c>
      <c r="E27" s="148" t="str">
        <f>IF(contas_7[data]&lt;&gt;"",UPPER(TEXT(contas_7[data],"mmm")), "")</f>
        <v>OUT.</v>
      </c>
      <c r="F27" s="192">
        <v>22.0</v>
      </c>
      <c r="G27" s="149">
        <v>11.0</v>
      </c>
      <c r="H27" s="150">
        <f>IF(contas_7[n parc] = 999, contas_7[valor] *1 - contas_7[valor pago] , contas_7[valor]*contas_7[n parc] - contas_7[valor pago])
</f>
        <v>3163.9</v>
      </c>
      <c r="I27" s="151">
        <f>IF(contas_7[valor pago]="",contas_7[n parc], IF(contas_7[n parc]=999, 999, IF(AND(contas_7[n parc]=1,contas_7[total devido]=0),contas_7[n parc]-1, IF(AND(contas_7[n parc]&gt;1, OR(contas_7[total devido]&lt;&gt;0,contas_7[total devido]=0)),contas_7[n parc]-1,contas_7[n parc]))))</f>
        <v>10</v>
      </c>
      <c r="J27" s="152" t="s">
        <v>13</v>
      </c>
      <c r="K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>
      <c r="A28" s="136" t="s">
        <v>59</v>
      </c>
      <c r="B28" s="168">
        <v>111.98</v>
      </c>
      <c r="C28" s="138">
        <v>111.98</v>
      </c>
      <c r="D28" s="139">
        <v>45945.0</v>
      </c>
      <c r="E28" s="164" t="str">
        <f>IF(contas_7[data]&lt;&gt;"",UPPER(TEXT(contas_7[data],"mmm")), "")</f>
        <v>OUT.</v>
      </c>
      <c r="F28" s="189">
        <v>27.0</v>
      </c>
      <c r="G28" s="141">
        <v>1.0</v>
      </c>
      <c r="H28" s="142">
        <f>IF(contas_7[n parc] = 999, contas_7[valor] *1 - contas_7[valor pago] , contas_7[valor]*contas_7[n parc] - contas_7[valor pago])
</f>
        <v>0</v>
      </c>
      <c r="I28" s="143">
        <f>IF(contas_7[valor pago]="",contas_7[n parc], IF(contas_7[n parc]=999, 999, IF(AND(contas_7[n parc]=1,contas_7[total devido]=0),contas_7[n parc]-1, IF(AND(contas_7[n parc]&gt;1, OR(contas_7[total devido]&lt;&gt;0,contas_7[total devido]=0)),contas_7[n parc]-1,contas_7[n parc]))))</f>
        <v>0</v>
      </c>
      <c r="J28" s="144" t="s">
        <v>13</v>
      </c>
    </row>
    <row r="29">
      <c r="A29" s="154" t="s">
        <v>44</v>
      </c>
      <c r="B29" s="146">
        <f>70.65+57.81</f>
        <v>128.46</v>
      </c>
      <c r="C29" s="138">
        <v>128.46</v>
      </c>
      <c r="D29" s="147">
        <v>45930.0</v>
      </c>
      <c r="E29" s="148" t="str">
        <f>IF(contas_7[data]&lt;&gt;"",UPPER(TEXT(contas_7[data],"mmm")), "")</f>
        <v>SET.</v>
      </c>
      <c r="F29" s="190">
        <v>22.0</v>
      </c>
      <c r="G29" s="151">
        <v>999.0</v>
      </c>
      <c r="H29" s="150">
        <f>IF(contas_7[n parc] = 999, contas_7[valor] *1 - contas_7[valor pago] , contas_7[valor]*contas_7[n parc] - contas_7[valor pago])
</f>
        <v>0</v>
      </c>
      <c r="I29" s="151">
        <f>IF(contas_7[valor pago]="",contas_7[n parc], IF(contas_7[n parc]=999, 999, IF(AND(contas_7[n parc]=1,contas_7[total devido]=0),contas_7[n parc]-1, IF(AND(contas_7[n parc]&gt;1, OR(contas_7[total devido]&lt;&gt;0,contas_7[total devido]=0)),contas_7[n parc]-1,contas_7[n parc]))))</f>
        <v>999</v>
      </c>
      <c r="J29" s="152" t="s">
        <v>13</v>
      </c>
    </row>
    <row r="30">
      <c r="A30" s="171" t="s">
        <v>47</v>
      </c>
      <c r="B30" s="172">
        <v>620.0</v>
      </c>
      <c r="C30" s="172"/>
      <c r="D30" s="221"/>
      <c r="E30" s="174" t="str">
        <f>IF(contas_7[data]&lt;&gt;"",UPPER(TEXT(contas_7[data],"mmm")), "")</f>
        <v/>
      </c>
      <c r="F30" s="205">
        <v>25.0</v>
      </c>
      <c r="G30" s="175">
        <v>999.0</v>
      </c>
      <c r="H30" s="176">
        <f>IF(contas_7[n parc] = 999, contas_7[valor] *1 - contas_7[valor pago] , contas_7[valor]*contas_7[n parc] - contas_7[valor pago])
</f>
        <v>620</v>
      </c>
      <c r="I30" s="175">
        <f>IF(contas_7[valor pago]="",contas_7[n parc], IF(contas_7[n parc]=999, 999, IF(AND(contas_7[n parc]=1,contas_7[total devido]=0),contas_7[n parc]-1, IF(AND(contas_7[n parc]&gt;1, OR(contas_7[total devido]&lt;&gt;0,contas_7[total devido]=0)),contas_7[n parc]-1,contas_7[n parc]))))</f>
        <v>999</v>
      </c>
      <c r="J30" s="177" t="s">
        <v>37</v>
      </c>
    </row>
    <row r="31">
      <c r="C31" s="93"/>
      <c r="D31" s="93"/>
      <c r="E31" s="93"/>
      <c r="F31" s="93"/>
      <c r="G31" s="93"/>
      <c r="H31" s="93"/>
      <c r="I31" s="93"/>
      <c r="J31" s="93"/>
    </row>
    <row r="32">
      <c r="C32" s="93"/>
      <c r="D32" s="93"/>
      <c r="E32" s="93"/>
      <c r="F32" s="93"/>
      <c r="G32" s="93"/>
      <c r="H32" s="93"/>
      <c r="I32" s="93"/>
      <c r="J32" s="93"/>
    </row>
    <row r="33">
      <c r="C33" s="93"/>
      <c r="D33" s="93"/>
      <c r="E33" s="93"/>
      <c r="F33" s="93"/>
      <c r="G33" s="93"/>
      <c r="H33" s="93"/>
      <c r="I33" s="93"/>
      <c r="J33" s="93"/>
    </row>
    <row r="34">
      <c r="C34" s="93"/>
      <c r="D34" s="93"/>
      <c r="E34" s="93"/>
      <c r="F34" s="93"/>
      <c r="G34" s="93"/>
      <c r="H34" s="93"/>
      <c r="I34" s="93"/>
      <c r="J34" s="93"/>
    </row>
    <row r="35">
      <c r="A35" s="93"/>
      <c r="B35" s="93"/>
      <c r="C35" s="93"/>
      <c r="D35" s="93"/>
      <c r="E35" s="93"/>
      <c r="F35" s="93"/>
      <c r="G35" s="93"/>
      <c r="H35" s="93"/>
      <c r="I35" s="93"/>
      <c r="J35" s="93"/>
    </row>
  </sheetData>
  <conditionalFormatting sqref="C1:C30">
    <cfRule type="notContainsBlanks" dxfId="0" priority="1">
      <formula>LEN(TRIM(C1))&gt;0</formula>
    </cfRule>
  </conditionalFormatting>
  <dataValidations>
    <dataValidation type="list" allowBlank="1" sqref="J2:J30">
      <formula1>"debito,cartao,a pagar,pagamento,investimento"</formula1>
    </dataValidation>
    <dataValidation type="custom" allowBlank="1" showDropDown="1" sqref="D2:D30">
      <formula1>OR(NOT(ISERROR(DATEVALUE(D2))), AND(ISNUMBER(D2), LEFT(CELL("format", D2))="D"))</formula1>
    </dataValidation>
    <dataValidation type="custom" allowBlank="1" showDropDown="1" sqref="M2:M15 B2:C30 F2:I30">
      <formula1>AND(ISNUMBER(B2),(NOT(OR(NOT(ISERROR(DATEVALUE(B2))), AND(ISNUMBER(B2), LEFT(CELL("format", B2))="D")))))</formula1>
    </dataValidation>
  </dataValidations>
  <drawing r:id="rId1"/>
  <tableParts count="2">
    <tablePart r:id="rId4"/>
    <tablePart r:id="rId5"/>
  </tableParts>
</worksheet>
</file>